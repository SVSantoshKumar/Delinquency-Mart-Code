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y.skumar\Documents\Collection Data Models\"/>
    </mc:Choice>
  </mc:AlternateContent>
  <bookViews>
    <workbookView xWindow="0" yWindow="0" windowWidth="19200" windowHeight="5890" firstSheet="9" activeTab="13"/>
  </bookViews>
  <sheets>
    <sheet name="Coll_Duelist" sheetId="1" r:id="rId1"/>
    <sheet name="Collection Hierarchy" sheetId="2" r:id="rId2"/>
    <sheet name="Collection Bounce" sheetId="3" r:id="rId3"/>
    <sheet name="Coll_Case_DTL" sheetId="4" r:id="rId4"/>
    <sheet name="STAGE_INSTRUMENT_DTL" sheetId="5" r:id="rId5"/>
    <sheet name="COLL_FOLLOW_UP_TRAILS" sheetId="6" r:id="rId6"/>
    <sheet name="DELINQUENCY_MART" sheetId="7" r:id="rId7"/>
    <sheet name="INTERACTION_TRAIL" sheetId="8" r:id="rId8"/>
    <sheet name="Sarfaesi MIS" sheetId="9" r:id="rId9"/>
    <sheet name="Litigation Against" sheetId="10" r:id="rId10"/>
    <sheet name="Litigation By" sheetId="11" r:id="rId11"/>
    <sheet name="MIS 138 and Sec 25" sheetId="12" r:id="rId12"/>
    <sheet name="BW Execution Status" sheetId="13" r:id="rId13"/>
    <sheet name="Sheet14" sheetId="14" r:id="rId14"/>
  </sheets>
  <definedNames>
    <definedName name="_xlnm._FilterDatabase" localSheetId="13" hidden="1">Sheet14!$A$1:$E$134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3" i="9" l="1"/>
  <c r="D79" i="9" s="1"/>
  <c r="D42" i="9"/>
  <c r="D44" i="9" l="1"/>
  <c r="D53" i="9"/>
  <c r="D61" i="9"/>
</calcChain>
</file>

<file path=xl/sharedStrings.xml><?xml version="1.0" encoding="utf-8"?>
<sst xmlns="http://schemas.openxmlformats.org/spreadsheetml/2006/main" count="3002" uniqueCount="1090">
  <si>
    <t>Coll_Duelist</t>
  </si>
  <si>
    <t>BOOKING_DATE</t>
  </si>
  <si>
    <t>CBC_DUE</t>
  </si>
  <si>
    <t>CHEQUE_IN_TRANSIT_AMT</t>
  </si>
  <si>
    <t>CHEQUE_IN_TRANSIT_COUNT</t>
  </si>
  <si>
    <t>CURRENT_MONTH_INSTLA</t>
  </si>
  <si>
    <t>CURRENT_MONTH_INSTLAMENT_DUE_DATE</t>
  </si>
  <si>
    <t>CUSTOMER_NAME</t>
  </si>
  <si>
    <t>DISBURSAL_STATUS</t>
  </si>
  <si>
    <t>DPD</t>
  </si>
  <si>
    <t>EMI_FREQUENCY</t>
  </si>
  <si>
    <t>EMI_PATTERN</t>
  </si>
  <si>
    <t>FIRST_EMI_DATE</t>
  </si>
  <si>
    <t>FATHER_HUSBAND_NAME</t>
  </si>
  <si>
    <t>LAST_EMI_DATE</t>
  </si>
  <si>
    <t>LAST_RECEIPT_AMOUNT</t>
  </si>
  <si>
    <t>LAST_RECEIVED_DATE_KNOCKOFF_DATE</t>
  </si>
  <si>
    <t>LOAN_AMOUNT</t>
  </si>
  <si>
    <t>LOAN_EFF_RATE</t>
  </si>
  <si>
    <t>LOAN_PRODUCT</t>
  </si>
  <si>
    <t>LOAN_STATUS</t>
  </si>
  <si>
    <t>LPP</t>
  </si>
  <si>
    <t>LOAN_BRANCH</t>
  </si>
  <si>
    <t>LOAN_ID</t>
  </si>
  <si>
    <t>LOAN_NO</t>
  </si>
  <si>
    <t>MORATORIUM</t>
  </si>
  <si>
    <t>OTHER_CHARGES_DUE</t>
  </si>
  <si>
    <t>OVERDUE_INTEREST</t>
  </si>
  <si>
    <t>OVERDUE_PRIN</t>
  </si>
  <si>
    <t>OVERDUE_INSTL_COUNT</t>
  </si>
  <si>
    <t>OVERDUE_PRE_EMI_COUNT</t>
  </si>
  <si>
    <t>PRE_EMI</t>
  </si>
  <si>
    <t>REGION</t>
  </si>
  <si>
    <t>SCHEME</t>
  </si>
  <si>
    <t>STATE</t>
  </si>
  <si>
    <t>TOTAL_POS</t>
  </si>
  <si>
    <t>TOTAL_BILLED_INSTL_NO</t>
  </si>
  <si>
    <t>TOTAL_DUE</t>
  </si>
  <si>
    <t>TOTAL_NO_OF_INSTL</t>
  </si>
  <si>
    <t>TOTAL_RECEIV_INSTL</t>
  </si>
  <si>
    <t>EXTRACTED_DATE</t>
  </si>
  <si>
    <t>Datatype</t>
  </si>
  <si>
    <t>VARCHAR(255)</t>
  </si>
  <si>
    <t>FLOAT</t>
  </si>
  <si>
    <t>NUMBER(38,0)</t>
  </si>
  <si>
    <t>DATE</t>
  </si>
  <si>
    <t>Date</t>
  </si>
  <si>
    <t>Description</t>
  </si>
  <si>
    <t>Loan Booking Date</t>
  </si>
  <si>
    <t>Cheque Bounce Charges Due</t>
  </si>
  <si>
    <t>current month installment</t>
  </si>
  <si>
    <t>current month installment Due Date</t>
  </si>
  <si>
    <t>Customer name</t>
  </si>
  <si>
    <t>partial or Full</t>
  </si>
  <si>
    <t>Days per due</t>
  </si>
  <si>
    <t>Monthly</t>
  </si>
  <si>
    <t>Date of First EMI</t>
  </si>
  <si>
    <t>Customer Father Husband Name</t>
  </si>
  <si>
    <t>Last Paid EMI Date</t>
  </si>
  <si>
    <t>Loan Amount</t>
  </si>
  <si>
    <t>Effective Rate of Interest</t>
  </si>
  <si>
    <t>Regular or WriteOff</t>
  </si>
  <si>
    <t>Late Penalty Payment-Delay Interest</t>
  </si>
  <si>
    <t>Loan Branch</t>
  </si>
  <si>
    <t>Loan ID in OmniFin</t>
  </si>
  <si>
    <t>Loan ID in Flexcube</t>
  </si>
  <si>
    <t>Interest OverDue</t>
  </si>
  <si>
    <t>Principal OverDue</t>
  </si>
  <si>
    <t>OverDue Installment Count</t>
  </si>
  <si>
    <t>overdue pre emi installment count</t>
  </si>
  <si>
    <t>pre EMI Amount</t>
  </si>
  <si>
    <t>General or Employee Loan</t>
  </si>
  <si>
    <t>State</t>
  </si>
  <si>
    <t>Total Principal Outstanding As of T - 1</t>
  </si>
  <si>
    <t>Total billed Installments</t>
  </si>
  <si>
    <t>Total Installment</t>
  </si>
  <si>
    <t>Total Received Installement</t>
  </si>
  <si>
    <t>File Extract Date</t>
  </si>
  <si>
    <t>Columns</t>
  </si>
  <si>
    <t>DataType</t>
  </si>
  <si>
    <t>NEW_LOAN_NO</t>
  </si>
  <si>
    <t>VARCHAR</t>
  </si>
  <si>
    <t>EMP_ID</t>
  </si>
  <si>
    <t>COLLECTION_RESPONSIBILITY</t>
  </si>
  <si>
    <t>EXECUTIVE_CATEGORY</t>
  </si>
  <si>
    <t>TEAM</t>
  </si>
  <si>
    <t>TL_EMP_ID</t>
  </si>
  <si>
    <t>TL</t>
  </si>
  <si>
    <t>TL_NPL</t>
  </si>
  <si>
    <t>ACM_EMP_ID</t>
  </si>
  <si>
    <t>ACM</t>
  </si>
  <si>
    <t>SH_EMP_ID</t>
  </si>
  <si>
    <t>SH_NPL</t>
  </si>
  <si>
    <t>ZH_EMP_ID</t>
  </si>
  <si>
    <t>COLL_ZH</t>
  </si>
  <si>
    <t>AFFORDABLE_ACM_EMP_ID</t>
  </si>
  <si>
    <t>AFFORDABLE_ACM</t>
  </si>
  <si>
    <t>AFFORDABLE_ZH_EMP_ID</t>
  </si>
  <si>
    <t>AFFORDABLE_ZH</t>
  </si>
  <si>
    <t>NH_EMP_ID</t>
  </si>
  <si>
    <t>NH</t>
  </si>
  <si>
    <t>BH_EMP_ID</t>
  </si>
  <si>
    <t>BH</t>
  </si>
  <si>
    <t>EXTRACT_DATE</t>
  </si>
  <si>
    <t>loan_no</t>
  </si>
  <si>
    <t>old_loan_no</t>
  </si>
  <si>
    <t>LNJGP00612-130000878</t>
  </si>
  <si>
    <t>instrument_no</t>
  </si>
  <si>
    <t>deposit_bank_account</t>
  </si>
  <si>
    <t>ECS HDFC AUHOUSING</t>
  </si>
  <si>
    <t>instrument_mode1</t>
  </si>
  <si>
    <t>ECS</t>
  </si>
  <si>
    <t>instrument_amount</t>
  </si>
  <si>
    <t>allocated_amt</t>
  </si>
  <si>
    <t>received_date</t>
  </si>
  <si>
    <t>instrument_date</t>
  </si>
  <si>
    <t>gross_status</t>
  </si>
  <si>
    <t>C.Bounce</t>
  </si>
  <si>
    <t>reason_for_bouncing</t>
  </si>
  <si>
    <t>FUNDS INSUFFICIENT</t>
  </si>
  <si>
    <t>net_status</t>
  </si>
  <si>
    <t>gross_bounce</t>
  </si>
  <si>
    <t>net_bounce</t>
  </si>
  <si>
    <t>active_flag_new</t>
  </si>
  <si>
    <t>INTEGER</t>
  </si>
  <si>
    <t>Month</t>
  </si>
  <si>
    <t>Sample Data</t>
  </si>
  <si>
    <t xml:space="preserve">loan_id                     </t>
  </si>
  <si>
    <t xml:space="preserve">deal_id                     </t>
  </si>
  <si>
    <t xml:space="preserve">loan_no                     </t>
  </si>
  <si>
    <t xml:space="preserve">QUEUE_CODE                  </t>
  </si>
  <si>
    <t xml:space="preserve">QUEUE_DATE                  </t>
  </si>
  <si>
    <t xml:space="preserve">DELINQUENCY_FLAG            </t>
  </si>
  <si>
    <t xml:space="preserve">DELINQUENCY_DATE            </t>
  </si>
  <si>
    <t xml:space="preserve">USER_ID                     </t>
  </si>
  <si>
    <t xml:space="preserve">ALLOCATION_DATE             </t>
  </si>
  <si>
    <t xml:space="preserve">REALLOCATION_FLAG           </t>
  </si>
  <si>
    <t xml:space="preserve">REALLOCATION_REMARKS        </t>
  </si>
  <si>
    <t xml:space="preserve">ESCALATION_FLAG             </t>
  </si>
  <si>
    <t xml:space="preserve">ESCLATION_DATE              </t>
  </si>
  <si>
    <t xml:space="preserve">ESCLATION_COUNT             </t>
  </si>
  <si>
    <t xml:space="preserve">ESCALATION_REMARK           </t>
  </si>
  <si>
    <t xml:space="preserve">LAST_ACTION_CODE            </t>
  </si>
  <si>
    <t xml:space="preserve">LAST_ACTION_DATE            </t>
  </si>
  <si>
    <t xml:space="preserve">LOAN_PRODUCT                </t>
  </si>
  <si>
    <t xml:space="preserve">LOAN_SCHEME                 </t>
  </si>
  <si>
    <t xml:space="preserve">LOAN_CUSTOMER_ID            </t>
  </si>
  <si>
    <t xml:space="preserve">LOAN_DPD                    </t>
  </si>
  <si>
    <t xml:space="preserve">LOAN_BILLED_PRINCIPAL       </t>
  </si>
  <si>
    <t xml:space="preserve">LOAN_BALANCE_PRINCIPAL      </t>
  </si>
  <si>
    <t xml:space="preserve">LOAN_OVERDUE_PRINCIPAL      </t>
  </si>
  <si>
    <t xml:space="preserve">LOAN_RECEIVED_PRINCIPAL     </t>
  </si>
  <si>
    <t xml:space="preserve">LOAN_OVERDUE_INSTL_NUM      </t>
  </si>
  <si>
    <t xml:space="preserve">LOAN_OVERDUE_AMOUNT         </t>
  </si>
  <si>
    <t xml:space="preserve">LOAN_EMI_AMOUNT             </t>
  </si>
  <si>
    <t xml:space="preserve">LOAN_BILLED_INSTL_NUM       </t>
  </si>
  <si>
    <t xml:space="preserve">LOAN_BILLED_INSTL_AMOUNT    </t>
  </si>
  <si>
    <t xml:space="preserve">LOAN_RECEIVED_INSTL_AMOUNT  </t>
  </si>
  <si>
    <t xml:space="preserve">LOAN_BALANCE_INSTL_AMOUNT   </t>
  </si>
  <si>
    <t xml:space="preserve">LOAN_BRANCH                 </t>
  </si>
  <si>
    <t xml:space="preserve">LOAN_PRODUCT_CATEGORY       </t>
  </si>
  <si>
    <t xml:space="preserve">LOAN_CUSTOMER_TYPE          </t>
  </si>
  <si>
    <t xml:space="preserve">LAST_QUEUE                  </t>
  </si>
  <si>
    <t xml:space="preserve">LAST_ALLOCATION             </t>
  </si>
  <si>
    <t xml:space="preserve">AREA_CODE                   </t>
  </si>
  <si>
    <t xml:space="preserve">NEXT_ACTION_DATE            </t>
  </si>
  <si>
    <t xml:space="preserve">RECORD_TYPE                 </t>
  </si>
  <si>
    <t xml:space="preserve">DEF_ALLOC_USER_ID           </t>
  </si>
  <si>
    <t xml:space="preserve">operation_date              </t>
  </si>
  <si>
    <t xml:space="preserve">AMOUNT_COLLECTED            </t>
  </si>
  <si>
    <t xml:space="preserve">CUSTOMER_NAME               </t>
  </si>
  <si>
    <t xml:space="preserve">Phone_no                    </t>
  </si>
  <si>
    <t xml:space="preserve">CUSTOMER_ADDRESS            </t>
  </si>
  <si>
    <t xml:space="preserve">property_address            </t>
  </si>
  <si>
    <t xml:space="preserve">maker_date                  </t>
  </si>
  <si>
    <t>STAGE_INSTRUMENT_DTL</t>
  </si>
  <si>
    <t xml:space="preserve">INSTRUMENT_ID             </t>
  </si>
  <si>
    <t xml:space="preserve">sales_id                  </t>
  </si>
  <si>
    <t xml:space="preserve">SALES_LEAD_ID             </t>
  </si>
  <si>
    <t xml:space="preserve">trans_id                  </t>
  </si>
  <si>
    <t xml:space="preserve">LOAN_ID                   </t>
  </si>
  <si>
    <t xml:space="preserve">OMNIFIN_INSTRUMENT_ID     </t>
  </si>
  <si>
    <t xml:space="preserve">OMNIFIN_INSTRUMENT_STATUS </t>
  </si>
  <si>
    <t xml:space="preserve">INSTRUMENT_MODE           </t>
  </si>
  <si>
    <t xml:space="preserve">INSTRUMENT_TYPE           </t>
  </si>
  <si>
    <t xml:space="preserve">RECEIVED_DATE             </t>
  </si>
  <si>
    <t xml:space="preserve">INSTRUMENT_DATE           </t>
  </si>
  <si>
    <t xml:space="preserve">INSTRUMENT_AMOUNT         </t>
  </si>
  <si>
    <t xml:space="preserve">INSTRUMENT_NO             </t>
  </si>
  <si>
    <t xml:space="preserve">ISSUEING_BANK_ACCOUNT     </t>
  </si>
  <si>
    <t xml:space="preserve">ISSUEING_BANK_ID          </t>
  </si>
  <si>
    <t xml:space="preserve">BANK_NAME                 </t>
  </si>
  <si>
    <t xml:space="preserve">ISSUEING_BRANCH_ID        </t>
  </si>
  <si>
    <t xml:space="preserve">BRANCH_NAME               </t>
  </si>
  <si>
    <t xml:space="preserve">ISSUING_MICR_CODE         </t>
  </si>
  <si>
    <t xml:space="preserve">ISSUING_IFSC_CODE         </t>
  </si>
  <si>
    <t xml:space="preserve">TDS_AMOUNT                </t>
  </si>
  <si>
    <t xml:space="preserve">RECEIPT_SEQUENCE_NO       </t>
  </si>
  <si>
    <t xml:space="preserve">RECIPT_NO                 </t>
  </si>
  <si>
    <t xml:space="preserve">REC_STATUS                </t>
  </si>
  <si>
    <t xml:space="preserve">PDC_FLAG                  </t>
  </si>
  <si>
    <t xml:space="preserve">DEFAULT_BRANCH            </t>
  </si>
  <si>
    <t xml:space="preserve">RECEIPT_PURPOSE           </t>
  </si>
  <si>
    <t xml:space="preserve">TRANSACTION_REF           </t>
  </si>
  <si>
    <t xml:space="preserve">MANUAL_AUTO_FLAG          </t>
  </si>
  <si>
    <t xml:space="preserve">DEPOSIT_BANK_ID           </t>
  </si>
  <si>
    <t xml:space="preserve">DEPOSIT_BRANCH_ID         </t>
  </si>
  <si>
    <t xml:space="preserve">DEPOSIT_MICR_CODE         </t>
  </si>
  <si>
    <t xml:space="preserve">DEPOSIT_IFSC_CODE         </t>
  </si>
  <si>
    <t xml:space="preserve">DEPOSIT_BANK_ACCOUNT      </t>
  </si>
  <si>
    <t xml:space="preserve">BANK_ACCOUNTS_ID          </t>
  </si>
  <si>
    <t xml:space="preserve">MAKER_REMARKS             </t>
  </si>
  <si>
    <t xml:space="preserve">MAKER_ID                  </t>
  </si>
  <si>
    <t xml:space="preserve">maker_date                </t>
  </si>
  <si>
    <t xml:space="preserve">LONGITUDE                 </t>
  </si>
  <si>
    <t xml:space="preserve">LATITUDE                  </t>
  </si>
  <si>
    <t xml:space="preserve">LOCATION_ADDRESS          </t>
  </si>
  <si>
    <t xml:space="preserve">OPERATION_MSG             </t>
  </si>
  <si>
    <t xml:space="preserve">CONTACT_NO                </t>
  </si>
  <si>
    <t xml:space="preserve">OPERATION_DATE            </t>
  </si>
  <si>
    <t xml:space="preserve">MOBILE_APP_VERSION        </t>
  </si>
  <si>
    <t xml:space="preserve">PRINT_COUNT               </t>
  </si>
  <si>
    <t xml:space="preserve">PRINT_STREAM              </t>
  </si>
  <si>
    <t xml:space="preserve">LAST_UPDATED_DATE         </t>
  </si>
  <si>
    <t xml:space="preserve">TOTOL_RECEIVABLE          </t>
  </si>
  <si>
    <t xml:space="preserve">OMNIFIN_ORDER_ID          </t>
  </si>
  <si>
    <t xml:space="preserve">GATEWAY_ORDER_ID          </t>
  </si>
  <si>
    <t xml:space="preserve">GATEWAY_PAYMENT_ID        </t>
  </si>
  <si>
    <t xml:space="preserve">COLLECTION_RECEIVED_FROM  </t>
  </si>
  <si>
    <t xml:space="preserve">THIRD_PARTY_PAYER_NAME    </t>
  </si>
  <si>
    <t xml:space="preserve">THIRD_PARTY_PAYER_NO      </t>
  </si>
  <si>
    <t xml:space="preserve">VEHICLE_REGISTRATION_NO   </t>
  </si>
  <si>
    <t xml:space="preserve">PAY_IN_SLIP_ID            </t>
  </si>
  <si>
    <t xml:space="preserve">IS_REGISTERED             </t>
  </si>
  <si>
    <t xml:space="preserve">IS_NOTIFICATION_SEND      </t>
  </si>
  <si>
    <t xml:space="preserve">MOBILE_SOURCE             </t>
  </si>
  <si>
    <t xml:space="preserve">VISIT_MODE                </t>
  </si>
  <si>
    <t xml:space="preserve">RESIDING_PROPERTY_ADDRESS </t>
  </si>
  <si>
    <t xml:space="preserve">CUSTOMER_NAME             </t>
  </si>
  <si>
    <t xml:space="preserve">LOAN_NO                   </t>
  </si>
  <si>
    <t xml:space="preserve">REGISTERED_EMAIL_ID       </t>
  </si>
  <si>
    <t xml:space="preserve">PAYEE_EMAIL_ID            </t>
  </si>
  <si>
    <t xml:space="preserve">PAYNIMO_ID                </t>
  </si>
  <si>
    <t xml:space="preserve">PAYNIMO_STATUS            </t>
  </si>
  <si>
    <t xml:space="preserve">PAN_NUMBER                </t>
  </si>
  <si>
    <t xml:space="preserve">LAST_UPDATE               </t>
  </si>
  <si>
    <t xml:space="preserve">RECEIPT_MODE_SUBTYPE      </t>
  </si>
  <si>
    <t xml:space="preserve">REMARKS                   </t>
  </si>
  <si>
    <t xml:space="preserve">DOCUMENT_FORM_TYPE        </t>
  </si>
  <si>
    <t xml:space="preserve">TOTAL_OVERDUE             </t>
  </si>
  <si>
    <t xml:space="preserve">TOTAL_RECIEPT_AMOUNT      </t>
  </si>
  <si>
    <t xml:space="preserve">ACCOUNT_NUMBER            </t>
  </si>
  <si>
    <t>VARCHAR(255),</t>
  </si>
  <si>
    <t>CUSTOMER_ID</t>
  </si>
  <si>
    <t>OVERDUE_PRINCIPAL</t>
  </si>
  <si>
    <t>REMAINING_TENURE</t>
  </si>
  <si>
    <t>PENAL_AMOUNT_OUTSTANDING</t>
  </si>
  <si>
    <t>NPA_LOAN</t>
  </si>
  <si>
    <t>OP_DPD</t>
  </si>
  <si>
    <t>COLLX_BKT</t>
  </si>
  <si>
    <t>TICKET</t>
  </si>
  <si>
    <t>CYCLE</t>
  </si>
  <si>
    <t>CURRENT_DPD_SCALE</t>
  </si>
  <si>
    <t>OP_DPD_SCALE</t>
  </si>
  <si>
    <t>CURRENT_STATUS</t>
  </si>
  <si>
    <t>STATUS</t>
  </si>
  <si>
    <t>PAID_STATUS</t>
  </si>
  <si>
    <t>BUSINESS_DATE</t>
  </si>
  <si>
    <t>DATE,</t>
  </si>
  <si>
    <t>CYCLE_DATE</t>
  </si>
  <si>
    <t>ON_OFF_BOOK</t>
  </si>
  <si>
    <t>INSTALLMENT_MODE</t>
  </si>
  <si>
    <t>LOAN_SANCTION_DATE</t>
  </si>
  <si>
    <t>NET_LTV</t>
  </si>
  <si>
    <t>EMI_OVERDUE_AMOUNT</t>
  </si>
  <si>
    <t>ROID</t>
  </si>
  <si>
    <t>BUSINESS_STATE</t>
  </si>
  <si>
    <t>VERTICAL</t>
  </si>
  <si>
    <t>BUCKET_HEAD</t>
  </si>
  <si>
    <t>BRANCH_ID</t>
  </si>
  <si>
    <t>BRANCH_NAME</t>
  </si>
  <si>
    <t>BRANCH_STATE</t>
  </si>
  <si>
    <t>PRODUCT_ID</t>
  </si>
  <si>
    <t>PRODUCT_CATEGORY</t>
  </si>
  <si>
    <t>PRODUCT_NAME</t>
  </si>
  <si>
    <t>COLLECTION_AGENT_EMP_ID</t>
  </si>
  <si>
    <t>Source</t>
  </si>
  <si>
    <t>Mappings</t>
  </si>
  <si>
    <t>Direct</t>
  </si>
  <si>
    <t>L2 Table</t>
  </si>
  <si>
    <t>LOAN_ACCOUNT_DETAILS.CUST_ID_FLEX</t>
  </si>
  <si>
    <t>Derived from Coll_Duelist</t>
  </si>
  <si>
    <t>TOTAL_NO_OF_INSTL , TOTAL_BILLED_INSTL_NO</t>
  </si>
  <si>
    <t>LN_ACCT_DTLS.FLG_ACCR_STATUS</t>
  </si>
  <si>
    <t>DPD, OP_DPD</t>
  </si>
  <si>
    <t>L1 Table</t>
  </si>
  <si>
    <t>loan_application__c.repayment_mode__c</t>
  </si>
  <si>
    <t>LOAN_ACCOUNT_DETAILS.LOAN_SANCTION_DATE</t>
  </si>
  <si>
    <t>TOTAL_NO_OF_INSTL, TOTAL_BILLED_INSTL_NO</t>
  </si>
  <si>
    <t>TOTAL_DUE,PRE_EMI</t>
  </si>
  <si>
    <t>employee_details.EMPLOYEE_ID</t>
  </si>
  <si>
    <t>LN_ACCT_ATTRIBUTES_EXT.POOL_NAME</t>
  </si>
  <si>
    <t>Collection Hierarchy</t>
  </si>
  <si>
    <t>Collection Agent Employee Id</t>
  </si>
  <si>
    <t>In house or Digital or External</t>
  </si>
  <si>
    <t>Team Lead Name</t>
  </si>
  <si>
    <t>Team Lead Name for NPL cases</t>
  </si>
  <si>
    <t>Zonal Head</t>
  </si>
  <si>
    <t>National head</t>
  </si>
  <si>
    <t>Branch Head</t>
  </si>
  <si>
    <t>TOTAL_NO_OF_INSTL - TOTAL_BILLED_INSTL_NO</t>
  </si>
  <si>
    <t>Psuedo Code</t>
  </si>
  <si>
    <t>LPP+PRE_EMI + CBC_DUE+OTHER_CHARGES_DUE</t>
  </si>
  <si>
    <t>If FLG_ACCR_STATUS is 'S' then NPA else Normal</t>
  </si>
  <si>
    <t>DPD on the last day of the month is assigned as OP_DPD for the next month. It is constant for the whole month</t>
  </si>
  <si>
    <t>Based on OP_DPD value, COLLX_BKT is assigned</t>
  </si>
  <si>
    <t xml:space="preserve">Month END Date for Monthly Load. </t>
  </si>
  <si>
    <t>National head EMP ID</t>
  </si>
  <si>
    <t>Branch Head Emp ID</t>
  </si>
  <si>
    <t>Zonal Head Emp ID</t>
  </si>
  <si>
    <t>Affordable Zonal Head</t>
  </si>
  <si>
    <t>Team Lead Emp ID</t>
  </si>
  <si>
    <t>LPP,CBC_DUE, PRE_EMI,OTHER_CHARGES_DUE</t>
  </si>
  <si>
    <t>Derived</t>
  </si>
  <si>
    <t>Derived from Vertical and Ticket</t>
  </si>
  <si>
    <t>Sales Mapping</t>
  </si>
  <si>
    <t>1. Based on the RO_ID from the HL_EMI_PEMI_Delinquency report and Sales Mapping Sheet, we can map  the required columns manually
2. Based on the Sales Mapping file, if under New State column has '%Affluent%' it will be tagged as Affluent, '%Affordable%' will be tagged as Affordable, '%MSME%' will be tagged as MSME, '%APF%' will be tagged as APF, '%HIG%' will be tagged as HIG/MIG, rest will be tagged under Retail</t>
  </si>
  <si>
    <t>1.  All the cust id whose Product Category = “Affordable” will be tagged as “Affordable &amp; MSME”. Also cust id whose Product Category = “MSME” and Ticket = STS will be tagged as “Affordable &amp; MSME”
2. All those cust id which falls under 0 scale will be tagged as “Flow”, all those cust id which falls under 1-90 scale will be tagged as “GCL”, all those cust id which falls under 90+ scale will be tagged as “NPL”</t>
  </si>
  <si>
    <t>DISHA_MART_ANALYTICS.SALES_CREDIT_MART.SALES_HIERARCHY_MART</t>
  </si>
  <si>
    <t>can be found from Employee table</t>
  </si>
  <si>
    <t>TOTAL_DUE + PRE_EMI</t>
  </si>
  <si>
    <t>Max of Pending EMIs  of all loans for a customer</t>
  </si>
  <si>
    <t>Pool Name  = NULL  - On Book
Pool Name like '%PTC% then  'PTC'
else OFF Book</t>
  </si>
  <si>
    <t>If Status = ('Rollforward', 'Cheque in transit') then it will be tagged as Unpaid, rest will be tagged as Paid</t>
  </si>
  <si>
    <t>Based on the LAST EMI Date from the duelist based on the loan no, we need to define the cycle
5th, 10th, 15th</t>
  </si>
  <si>
    <t>EXTRACTED_DATE - 1</t>
  </si>
  <si>
    <t>IF(AND(Op.DPD&gt;=91,DPD&lt;91,DPD&gt;0),"RTD",IF(DPD=0,"Normal",IF(DPD=Op.DPD,"Stable",IF(DPD&lt;Op.DPD,"Rollback","Rollforward"))))</t>
  </si>
  <si>
    <t>Derived from Current_Status</t>
  </si>
  <si>
    <t xml:space="preserve">CASE WHEN CURRENT_STATUS = ''ROLLFORWARD'' and TRY_TO_NUMBER(CHEQUE_IN_TRANSIT_COUNT) &lt;&gt; 0 then ''Cheque in transit''
   ELSE CURRENT_STATUS </t>
  </si>
  <si>
    <t>1. Current DPD scale at the last day of the month will become the OP.DPD Scale.
2. In second step, some “loan no” are fixed tagged as AFS (before April 22 cases) and hence will be tagged as “AFS” till DPD (current daily DPD) = 0, then we tag it to 0 scale bucket.
3. In third step, with respect to cust id, if DPD (current daily DPD) becomes 91, then those cases will be tagged as NPA. If one customer has two loans and if one loan tagged as NPA, then other will also be tagged as NPA. Hence will be tagged as NPA till DPD (current daily DPD) = 0, then we tag it to 0 scale bucket.
4. Out of these NPA cases, based on cust id if one customer has more than 1 loans, and current DPD of any loan is 0, then all the loans under cust id will be tagged as “Link Loan NPA”.
5. Out of these NPA cases, based on cust id if physical possession is done, then it will be tagged as NPA AFS. To check whether physical possession is done, basis loan Sarfeasi dump sub status = ‘Ph. Pass. Done’ then it will be tagged as NPA AFS. Hence will be tagged as NPA AFS till DPD (current daily DPD) = 0, then we tag it to 0 scale bucket.
5. If the “NPA”, “Link to NPA”, “NPA AFS”, the current DPD based on cust id becomes 0 for all the loans against one cust id, then it will be tagged as “Out of NPA”.</t>
  </si>
  <si>
    <t>based on DPD value, the current_dpd_scale is assigned.</t>
  </si>
  <si>
    <t xml:space="preserve">Based on LAST_EMI_DATE, cycle is determined as 5th cycle, 10th cycle or 15th cycle </t>
  </si>
  <si>
    <t xml:space="preserve">CASE 
    WHEN cd.TOTAL_POS &lt;= 700000 then ''STS''
    WHEN cd.TOTAL_POS &gt; 700001 AND cd.TOTAL_POS &lt;= 1500000 then ''MTS''
    WHEN cd.TOTAL_POS &gt; 1500001 AND cd.TOTAL_POS &lt;= 2500000 then ''HTS''
   ELSE ''SHTS'' </t>
  </si>
  <si>
    <t>branch_lms_code</t>
  </si>
  <si>
    <t>BRANCH_DETAILS</t>
  </si>
  <si>
    <t>loan_branch</t>
  </si>
  <si>
    <t>COD_PROD</t>
  </si>
  <si>
    <t>product_name</t>
  </si>
  <si>
    <t>DISHA_L2_CURATED.BASE_MODEL_DATA.PRODUCT_MASTER</t>
  </si>
  <si>
    <t>DISHA_L1_HARMONIZED.FLEX_LMS.LN_ACCT_DTLS</t>
  </si>
  <si>
    <t>Table Name</t>
  </si>
  <si>
    <t>Field Name</t>
  </si>
  <si>
    <t>Collection App Table Mapping</t>
  </si>
  <si>
    <t>Interaction_Trail</t>
  </si>
  <si>
    <t>AgreementID</t>
  </si>
  <si>
    <t>COLL_CASE_DTL</t>
  </si>
  <si>
    <t>InteractionID</t>
  </si>
  <si>
    <t>case_id</t>
  </si>
  <si>
    <t>COLL_CASE_ID</t>
  </si>
  <si>
    <t>case_open_date</t>
  </si>
  <si>
    <t>ALLOCATION_DATE</t>
  </si>
  <si>
    <t>bom_bucket</t>
  </si>
  <si>
    <t>product_flag</t>
  </si>
  <si>
    <t>product_group</t>
  </si>
  <si>
    <t>LOAN_PRODUCT_CATEGORY</t>
  </si>
  <si>
    <t>branch</t>
  </si>
  <si>
    <t>branch_zone</t>
  </si>
  <si>
    <t>collection_manager</t>
  </si>
  <si>
    <t>branch_state</t>
  </si>
  <si>
    <t>branch_city</t>
  </si>
  <si>
    <t>ptp_date</t>
  </si>
  <si>
    <t>OPERATION_DATE</t>
  </si>
  <si>
    <t>ptp_amount</t>
  </si>
  <si>
    <t>coll_follow_up_trails</t>
  </si>
  <si>
    <t>ACTION_AMOUNT</t>
  </si>
  <si>
    <t>permanentaddress</t>
  </si>
  <si>
    <t>CUSTOMER_ADDRESS</t>
  </si>
  <si>
    <t>residentialaddress</t>
  </si>
  <si>
    <t>Disposition_Latitude</t>
  </si>
  <si>
    <t>LONGITUDE</t>
  </si>
  <si>
    <t>Disposition_Longitude</t>
  </si>
  <si>
    <t>LATITUDE</t>
  </si>
  <si>
    <t>contact_mode</t>
  </si>
  <si>
    <t>CONTACT_MODE</t>
  </si>
  <si>
    <t>agent_name</t>
  </si>
  <si>
    <t>CONTACT_PERSON/ACTION_BY</t>
  </si>
  <si>
    <t>remarks</t>
  </si>
  <si>
    <t>REMARKS/ACTION_CODE</t>
  </si>
  <si>
    <t>REMARKS</t>
  </si>
  <si>
    <t>START_DATE</t>
  </si>
  <si>
    <t>DELINQUENCY_MART</t>
  </si>
  <si>
    <t>USER_ID</t>
  </si>
  <si>
    <t>BRANCH_STATE_NAME</t>
  </si>
  <si>
    <t>BRANCH_LOCATION</t>
  </si>
  <si>
    <t>instrumentmode</t>
  </si>
  <si>
    <t>disha_l2_curated.base_model_data.receipt_cms</t>
  </si>
  <si>
    <t>NULL</t>
  </si>
  <si>
    <t>Interaction_created_date</t>
  </si>
  <si>
    <t>last_payment_date</t>
  </si>
  <si>
    <t>payment_type</t>
  </si>
  <si>
    <t>VARCHAR(1000),</t>
  </si>
  <si>
    <t>Data Type</t>
  </si>
  <si>
    <t>Column Sourcing</t>
  </si>
  <si>
    <t xml:space="preserve">NEW_LOAN_NO </t>
  </si>
  <si>
    <t>varchar</t>
  </si>
  <si>
    <t>Manual</t>
  </si>
  <si>
    <t xml:space="preserve">LOAN_NO </t>
  </si>
  <si>
    <t>Platform</t>
  </si>
  <si>
    <t>LNMBK02218-190098131</t>
  </si>
  <si>
    <t xml:space="preserve">CUST_ID </t>
  </si>
  <si>
    <t xml:space="preserve">CUSTOMER_NAME </t>
  </si>
  <si>
    <t>SUNIL DEEPNARAYAN SHRIVASTAV</t>
  </si>
  <si>
    <t xml:space="preserve">STATE </t>
  </si>
  <si>
    <t>MAHARASHTRA</t>
  </si>
  <si>
    <t xml:space="preserve">GEOGRAPHY_STATE </t>
  </si>
  <si>
    <t xml:space="preserve">LOAN_BRANCH </t>
  </si>
  <si>
    <t>MUMBAI BKC</t>
  </si>
  <si>
    <t xml:space="preserve">APPLICANT_PROPERTY_ADDRESS </t>
  </si>
  <si>
    <t>Flat bearing No. 103, on 1 st Floor, “B” Wing, “GOLD FILLED GIRNAR TOWER CHSL, Bldg No. 2, CS No. 528 of Dharavi Division, Sion (West), Mumbai MAHRASHTRA  ADMEASURING  92.57 SQ. MTR.</t>
  </si>
  <si>
    <t xml:space="preserve">CODE </t>
  </si>
  <si>
    <t/>
  </si>
  <si>
    <t xml:space="preserve">INCHARGE </t>
  </si>
  <si>
    <t>Amarchand - 9376975914</t>
  </si>
  <si>
    <t xml:space="preserve">ALM </t>
  </si>
  <si>
    <t>Direct Inder Singh - 9358824181</t>
  </si>
  <si>
    <t xml:space="preserve">ZONAL_HEAD </t>
  </si>
  <si>
    <t>Inder Singh - 9358824181</t>
  </si>
  <si>
    <t>TOTAL_AMOUNT_COLLECTED_TILL_SEP_2021</t>
  </si>
  <si>
    <t>Float</t>
  </si>
  <si>
    <t>CLOSURE_DATE</t>
  </si>
  <si>
    <t>Active</t>
  </si>
  <si>
    <t xml:space="preserve">EMI_PEMI </t>
  </si>
  <si>
    <t>EMI</t>
  </si>
  <si>
    <t>DPD_ON_132_INITIATED_DATED</t>
  </si>
  <si>
    <t xml:space="preserve">OP_DPD_SCALE </t>
  </si>
  <si>
    <t>a: 0 - 0</t>
  </si>
  <si>
    <t xml:space="preserve">OP_DPD </t>
  </si>
  <si>
    <t xml:space="preserve">CURRENT_DPD_SCALE </t>
  </si>
  <si>
    <t>b: 1 - 30</t>
  </si>
  <si>
    <t>DPD Number</t>
  </si>
  <si>
    <t>Number</t>
  </si>
  <si>
    <t>POS_AS_ON_FILLING_DATE</t>
  </si>
  <si>
    <t>CURRENT_POS</t>
  </si>
  <si>
    <t>CR</t>
  </si>
  <si>
    <t>NPA_DATE</t>
  </si>
  <si>
    <t xml:space="preserve">TICKET </t>
  </si>
  <si>
    <t>SHTS</t>
  </si>
  <si>
    <t xml:space="preserve">FINAL_STATUS </t>
  </si>
  <si>
    <t>E: DM FILED</t>
  </si>
  <si>
    <t xml:space="preserve">SUB_STATUS </t>
  </si>
  <si>
    <t>For Dm Order</t>
  </si>
  <si>
    <t xml:space="preserve">REMARKS </t>
  </si>
  <si>
    <t>varchar(2000)</t>
  </si>
  <si>
    <t>DM Order Pending for Physical Possession</t>
  </si>
  <si>
    <t>LOAN_AMT</t>
  </si>
  <si>
    <t xml:space="preserve">AFS </t>
  </si>
  <si>
    <t>-</t>
  </si>
  <si>
    <t xml:space="preserve">SARFAESI_MARKING </t>
  </si>
  <si>
    <t>Yes</t>
  </si>
  <si>
    <t xml:space="preserve">ONE_THREE_TWO_NOTICE </t>
  </si>
  <si>
    <t>DATE_OF_132</t>
  </si>
  <si>
    <t>CLAIM_AMOUNT</t>
  </si>
  <si>
    <t>CLAIM_DATE</t>
  </si>
  <si>
    <t xml:space="preserve">MODE_OF_SERVICE </t>
  </si>
  <si>
    <t>News Paper</t>
  </si>
  <si>
    <t>DATE_OF_PUBLICATION</t>
  </si>
  <si>
    <t xml:space="preserve">THIRTEEN_2_ENGLISH_NEWS_PAPER </t>
  </si>
  <si>
    <t>Free press journal</t>
  </si>
  <si>
    <t xml:space="preserve">THIRTEEN_2_VERNACULAR_NEWS_PAPER </t>
  </si>
  <si>
    <t>Nav Shakti</t>
  </si>
  <si>
    <t>MATURITY_DATE</t>
  </si>
  <si>
    <t xml:space="preserve">TODAY </t>
  </si>
  <si>
    <t xml:space="preserve">AGE_OF_PUBLICATION </t>
  </si>
  <si>
    <t>PRE_INTIMATION_NOTICE_DATE_7_DAYS</t>
  </si>
  <si>
    <t xml:space="preserve">SARFAESI_AGENCY </t>
  </si>
  <si>
    <t>varchar(100)</t>
  </si>
  <si>
    <t>Vigilanta Force Management Services Pvt. Ltd-9082157889</t>
  </si>
  <si>
    <t>DATE_OF_ASSIGNMENT</t>
  </si>
  <si>
    <t xml:space="preserve">NOTICE_134_SY_PH </t>
  </si>
  <si>
    <t>SY</t>
  </si>
  <si>
    <t>DATE_OF_SY_POSS</t>
  </si>
  <si>
    <t>SY_POSS_PUB_DATE</t>
  </si>
  <si>
    <t xml:space="preserve">ENGLISH_N_P </t>
  </si>
  <si>
    <t xml:space="preserve">VERNACULAR_N_P </t>
  </si>
  <si>
    <t>AGE_SINCE_ASSIGNMENT_TO_AGENCY Number</t>
  </si>
  <si>
    <t xml:space="preserve">DM_FILED_BY </t>
  </si>
  <si>
    <t>Nemichand Pilaniya-9022666304</t>
  </si>
  <si>
    <t>DM_DOCS_SENDING_DATE</t>
  </si>
  <si>
    <t>DM_APPLICATION_FILING_DATE</t>
  </si>
  <si>
    <t xml:space="preserve">CASE_NO </t>
  </si>
  <si>
    <t>101324/2024</t>
  </si>
  <si>
    <t xml:space="preserve">COURT_NAME </t>
  </si>
  <si>
    <t>CMM MUMBAI</t>
  </si>
  <si>
    <t>PREVIOUS_DM_HEARING_DATE</t>
  </si>
  <si>
    <t>NEXT_HEARING_DATE</t>
  </si>
  <si>
    <t>AGE_SINCE_DM_APPLIED</t>
  </si>
  <si>
    <t>number</t>
  </si>
  <si>
    <t>DM_ORDER_DATE</t>
  </si>
  <si>
    <t>DM_ORDER_REC_DATE</t>
  </si>
  <si>
    <t>SP_APPLICATION_DATE</t>
  </si>
  <si>
    <t>DD_AMT</t>
  </si>
  <si>
    <t>DD_DATE</t>
  </si>
  <si>
    <t xml:space="preserve">LEGAL_STAY </t>
  </si>
  <si>
    <t xml:space="preserve">SARFAESI_AGENCY_PH </t>
  </si>
  <si>
    <t>DATE_OF_ASSIGNMENT_PH</t>
  </si>
  <si>
    <t>DATE_OF_PH_POSS</t>
  </si>
  <si>
    <t>PH_POSS_PUB_DATE</t>
  </si>
  <si>
    <t xml:space="preserve">PH_POSS_ENGLISH_N_P </t>
  </si>
  <si>
    <t xml:space="preserve">PH_POSS_VERNACULAR_N_P </t>
  </si>
  <si>
    <t>VALUER_ASSIGNED_MOB_NO_2</t>
  </si>
  <si>
    <t>VALUATION_DATE_2</t>
  </si>
  <si>
    <t>MARKET_VALUE_2</t>
  </si>
  <si>
    <t>DISTRESS_VALUE_2</t>
  </si>
  <si>
    <t xml:space="preserve">FIRST_TIME_30_DAYS_SALE_NOTICE_REGD_AD </t>
  </si>
  <si>
    <t>DAYS_PAST_SALE_NOTICE Number</t>
  </si>
  <si>
    <t>AUCTION_NOTICE_PUB_DATE</t>
  </si>
  <si>
    <t xml:space="preserve">NEWSPAPER_ENGLISH_FOR_FIRST_NOTICE </t>
  </si>
  <si>
    <t xml:space="preserve">NEWSPAPER_VERNACULAR_FOR_FIRST_NOTICE </t>
  </si>
  <si>
    <t>AUCTION_DATE</t>
  </si>
  <si>
    <t>AUCTION_AMT</t>
  </si>
  <si>
    <t>float</t>
  </si>
  <si>
    <t xml:space="preserve">SECOND_TIME_OF_15_30_DAYS_SALE_NOTICE_REGD_AD </t>
  </si>
  <si>
    <t>SECOND_TIME_AUCTION_NOTICE_PUB_DATE</t>
  </si>
  <si>
    <t xml:space="preserve">NEWSPAPER_ENGLISH_FOR_SECOND_NOTICE </t>
  </si>
  <si>
    <t xml:space="preserve">NEWSPAPER_VERNACULAR_FOR_SECOND_NOTICE </t>
  </si>
  <si>
    <t>AUCTION_DATE_2_ATTEMPT</t>
  </si>
  <si>
    <t>AUCTION_AMOUNT_2</t>
  </si>
  <si>
    <t xml:space="preserve">THIRD_TIME_OF_15_30_DAYS_SALE_NOTICE_REGD_AD </t>
  </si>
  <si>
    <t>THIRD_TIME_AUCTION_NOTICE_PUB_DATE</t>
  </si>
  <si>
    <t xml:space="preserve">NEWSPAPER_ENGLISH_FOR_THIRD_NOTICE </t>
  </si>
  <si>
    <t xml:space="preserve">NEWSPAPER_VERNACULAR_FOR_THIRD_NOTICE </t>
  </si>
  <si>
    <t>AUCTION_DATE_3_ATTEMPT</t>
  </si>
  <si>
    <t>AUCTION_AMOUNT_3</t>
  </si>
  <si>
    <t xml:space="preserve">VALUER_ASSIGNED_MOB_NO_3 </t>
  </si>
  <si>
    <t>VALUATION_DATE_3</t>
  </si>
  <si>
    <t>MARKET_VALUE_3</t>
  </si>
  <si>
    <t>DISTRESS_VALUE_3</t>
  </si>
  <si>
    <t xml:space="preserve">FORTH_ATTEMPT_OF_30_DAYS_SALE_NOTICE_REGD_AD </t>
  </si>
  <si>
    <t>FOURTH_ATTEMPT_AUCTION_NOTICE_PUB_DATE</t>
  </si>
  <si>
    <t xml:space="preserve">NEWSPAPER_ENGLISH_FOR_FORTH_NOTICE </t>
  </si>
  <si>
    <t xml:space="preserve">NEWSPAPER_VERNACULAR_FOR_FORTH_NOTICE </t>
  </si>
  <si>
    <t>AUCTION_DATE_4TH_ATTEMPT</t>
  </si>
  <si>
    <t>AUCTION_AMOUNT_4</t>
  </si>
  <si>
    <t xml:space="preserve">FIFTH_ATTEMPT_OF_30_DAYS_SALE_NOTICE_REGD_AD </t>
  </si>
  <si>
    <t>FIFTH_ATTEMPT_AUCTION_NOTICE_PUB_DATE</t>
  </si>
  <si>
    <t xml:space="preserve">ENGLISH_NEWS_PAPER_FOR_5TH_NOTICE </t>
  </si>
  <si>
    <t xml:space="preserve">NEWSPAPER_VERNACULAR_FOR_5TH_NOTICE </t>
  </si>
  <si>
    <t>AUCTION_DATE_5TH_ATTEMPT</t>
  </si>
  <si>
    <t>AUCTION_AMOUNT_5</t>
  </si>
  <si>
    <t xml:space="preserve">SIXTH_ATTEMPT_OF_30_DAYS_SALE_NOTICE_REGD_AD </t>
  </si>
  <si>
    <t>SIXTH_ATTEMPT_AUCTION_NOTICE_PUB_DATE</t>
  </si>
  <si>
    <t xml:space="preserve">ENGLISH_NEWS_PAPER_FOR_6TH_NOTICE </t>
  </si>
  <si>
    <t xml:space="preserve">NEWSPAPER_VERNACULAR_FOR_6TH_NOTICE </t>
  </si>
  <si>
    <t>AUCTION_DATE_6TH_ATTEMPT</t>
  </si>
  <si>
    <t>AUCTION_AMOUNT_6</t>
  </si>
  <si>
    <t xml:space="preserve">SEVENTH_ATTEMPT_OF_30_DAYS_SALE_NOTICE_REGD_AD </t>
  </si>
  <si>
    <t>SEVENTH_ATTEMPT_AUCTION_NOTICE_PUB_DATE</t>
  </si>
  <si>
    <t xml:space="preserve">ENGLISH_NEWS_PAPER_FOR_7TH_NOTICE </t>
  </si>
  <si>
    <t xml:space="preserve">NEWSPAPER_VERNACULAR_FOR_7TH_NOTICE </t>
  </si>
  <si>
    <t>AUCTION_DATE_7TH_ATTEMPT</t>
  </si>
  <si>
    <t>AUCTION_AMOUNT_7</t>
  </si>
  <si>
    <t xml:space="preserve">EIGTH_ATTEMPT_OF_30_DAYS_SALE_NOTICE_REGD_AD </t>
  </si>
  <si>
    <t>EIGTH_ATTEMPT_AUCTION_NOTICE_PUB_DATE</t>
  </si>
  <si>
    <t xml:space="preserve">ENGLISH_NEWS_PAPER_FOR_8TH_NOTICE </t>
  </si>
  <si>
    <t xml:space="preserve">NEWSPAPER_VERNACULAR_FOR_8TH_NOTICE </t>
  </si>
  <si>
    <t>AUCTION_DATE_8TH_ATTEMPT</t>
  </si>
  <si>
    <t>AUCTION_AMOUNT_8</t>
  </si>
  <si>
    <t xml:space="preserve">AUCTION_ATTEMPTED </t>
  </si>
  <si>
    <t>LAST_AUCTION_PUBLICATION_DATE</t>
  </si>
  <si>
    <t>LAST_AUCTION_DATE</t>
  </si>
  <si>
    <t>LAST_AUCTION_AMOUNT</t>
  </si>
  <si>
    <t xml:space="preserve">VALUER_ASSIGNED_AND_MOB_NO </t>
  </si>
  <si>
    <t>VALUATION_DATE_4</t>
  </si>
  <si>
    <t xml:space="preserve">MARKET_VALUE </t>
  </si>
  <si>
    <t xml:space="preserve">DISTRESS_VALUE </t>
  </si>
  <si>
    <t xml:space="preserve">BOOK </t>
  </si>
  <si>
    <t>On Book</t>
  </si>
  <si>
    <t xml:space="preserve">MORA_STATUS </t>
  </si>
  <si>
    <t>Column Name</t>
  </si>
  <si>
    <t>LNANG00517-180061426</t>
  </si>
  <si>
    <t>CUST_ID</t>
  </si>
  <si>
    <t>Vinod Kumar</t>
  </si>
  <si>
    <t>Rajasthan</t>
  </si>
  <si>
    <t>Shriganganagar</t>
  </si>
  <si>
    <t>DISPOSED</t>
  </si>
  <si>
    <t>NO</t>
  </si>
  <si>
    <t>AGAINST_AGAINST</t>
  </si>
  <si>
    <t>Against</t>
  </si>
  <si>
    <t>DPD number</t>
  </si>
  <si>
    <t>POS_IN_CR</t>
  </si>
  <si>
    <t>RISK</t>
  </si>
  <si>
    <t>Low</t>
  </si>
  <si>
    <t>COURT_NAME</t>
  </si>
  <si>
    <t>PLA Shriganganagar</t>
  </si>
  <si>
    <t>CNR_STATUS</t>
  </si>
  <si>
    <t>Not Applicable</t>
  </si>
  <si>
    <t>CNR_NO</t>
  </si>
  <si>
    <t>FIR_NO_OR_CASE_NO</t>
  </si>
  <si>
    <t>106/2021</t>
  </si>
  <si>
    <t>NEW_CASE_NUMBER</t>
  </si>
  <si>
    <t>CASE_NO_STATUS</t>
  </si>
  <si>
    <t>Completed</t>
  </si>
  <si>
    <t>DATE_OF_FILING</t>
  </si>
  <si>
    <t>date</t>
  </si>
  <si>
    <t>DATE_OF_FILING_FILING_PRE_LITIGATION</t>
  </si>
  <si>
    <t>CASE_TYPE</t>
  </si>
  <si>
    <t>Civil PLA</t>
  </si>
  <si>
    <t>SUB_CASE_TYPE_STATUS</t>
  </si>
  <si>
    <t>PREVIOUS_HEARING_DATE</t>
  </si>
  <si>
    <t>POLICE_STATION_NAME</t>
  </si>
  <si>
    <t>For Arrgument</t>
  </si>
  <si>
    <t>SUB_CURRENT_STATUS</t>
  </si>
  <si>
    <t>SYNOPSIS</t>
  </si>
  <si>
    <t>varchar(5000)</t>
  </si>
  <si>
    <t>Mr.Vinod Kumar has filed a civil complaint against the company and others,He has alleged that he insured his property at the time of availing loan facility and his property gutted with fire and got damaged so he has sought relief for the insurance claim.</t>
  </si>
  <si>
    <t>ADVOCATE</t>
  </si>
  <si>
    <t>SP Badu</t>
  </si>
  <si>
    <t>MOBILE_NUMBER</t>
  </si>
  <si>
    <t>PLACE_OF_FILING</t>
  </si>
  <si>
    <t>EMAIL_ID_ADVOCATE</t>
  </si>
  <si>
    <t>INCHARGE</t>
  </si>
  <si>
    <t>Mahesh sharma - 9257032770</t>
  </si>
  <si>
    <t>DATE_OF_LAST_VISIT</t>
  </si>
  <si>
    <t>NAME_OF_PERSON_VISITED</t>
  </si>
  <si>
    <t>Mahesh Sharma</t>
  </si>
  <si>
    <t>VISIT_STATUS</t>
  </si>
  <si>
    <t>REMARK</t>
  </si>
  <si>
    <t>Lok adatat cases Policy No. 106020/11/18/051864 Standrad Policy and Special pailess policy</t>
  </si>
  <si>
    <t>CLAIM_AMT</t>
  </si>
  <si>
    <t>OUTCOME_CLAIM</t>
  </si>
  <si>
    <t>POOL_NAME</t>
  </si>
  <si>
    <t>Aavas</t>
  </si>
  <si>
    <t>ACTIVE_CLOSED</t>
  </si>
  <si>
    <t>BOOK</t>
  </si>
  <si>
    <t>TYPE</t>
  </si>
  <si>
    <t>insurance</t>
  </si>
  <si>
    <t>STAY_STATUS</t>
  </si>
  <si>
    <t>FRAUD</t>
  </si>
  <si>
    <t>FMR_REPORT_CASES</t>
  </si>
  <si>
    <t>SARFAESI_POS</t>
  </si>
  <si>
    <t>LNJAR00317-180071340</t>
  </si>
  <si>
    <t>TEENA DEVI</t>
  </si>
  <si>
    <t>Jaipur</t>
  </si>
  <si>
    <t>AGAINST_BY</t>
  </si>
  <si>
    <t>By</t>
  </si>
  <si>
    <t>Medium</t>
  </si>
  <si>
    <t>PS Bindayika</t>
  </si>
  <si>
    <t>Pending</t>
  </si>
  <si>
    <t>FIR</t>
  </si>
  <si>
    <t>Criminal</t>
  </si>
  <si>
    <t>For Order</t>
  </si>
  <si>
    <t>We have filed 156(3) on the grounds of fraud.Aavas hasve takan physical possession on 5/Jan/2023,  visited by TL Manish  it’s found that Integral Urban Co Operative bank also has taken physical</t>
  </si>
  <si>
    <t>Anand Sharma</t>
  </si>
  <si>
    <t>kumaranand.adv@gmail.com</t>
  </si>
  <si>
    <t>Kanishak Agarwal</t>
  </si>
  <si>
    <t>Akshay Sharma</t>
  </si>
  <si>
    <t>Order Reserved Yet. 22/02/2024 present in court</t>
  </si>
  <si>
    <t>yes</t>
  </si>
  <si>
    <t>UNI_ID</t>
  </si>
  <si>
    <t>LNMJP01415-160018920/SEC-25/44229</t>
  </si>
  <si>
    <t>LNMJP01415-160018920</t>
  </si>
  <si>
    <t>Flow</t>
  </si>
  <si>
    <t>TEAM_LEADER</t>
  </si>
  <si>
    <t>Not Allocated</t>
  </si>
  <si>
    <t>LEGAL_INCHARGE</t>
  </si>
  <si>
    <t>Pranav Choudhary - 9773393200</t>
  </si>
  <si>
    <t>c: 31 - 60</t>
  </si>
  <si>
    <t>OP_DPD_MONTH</t>
  </si>
  <si>
    <t>CURRENT_DPD</t>
  </si>
  <si>
    <t>POS</t>
  </si>
  <si>
    <t>NI-6(1)</t>
  </si>
  <si>
    <t>CASE_NO</t>
  </si>
  <si>
    <t>825/21</t>
  </si>
  <si>
    <t>RAJASTHAN</t>
  </si>
  <si>
    <t>JAIPUR MANSAROWAR</t>
  </si>
  <si>
    <t>MAHENDRA SINGH RATNAWAT</t>
  </si>
  <si>
    <t>GUARANTOR_NAME</t>
  </si>
  <si>
    <t>AMOUNT</t>
  </si>
  <si>
    <t>SECTION</t>
  </si>
  <si>
    <t>SEC-25</t>
  </si>
  <si>
    <t>DATE_OF_NOTICE</t>
  </si>
  <si>
    <t>DATE_OF_FILLING</t>
  </si>
  <si>
    <t>PREV_DATE</t>
  </si>
  <si>
    <t>NEXT_DATE</t>
  </si>
  <si>
    <t>BAILABLE_WARRANT</t>
  </si>
  <si>
    <t>3rd B/W Issue For Service (For B/W)</t>
  </si>
  <si>
    <t>ARREST_WARRANT</t>
  </si>
  <si>
    <t>1ST_TIME_BW</t>
  </si>
  <si>
    <t>2ND_TIME_BW_REISSUE</t>
  </si>
  <si>
    <t>No</t>
  </si>
  <si>
    <t>3RD_TIME_BW_ISSUE</t>
  </si>
  <si>
    <t>4TH_TIME_BW_ISSUE</t>
  </si>
  <si>
    <t>5TH_TIME_BW_ISSUE</t>
  </si>
  <si>
    <t>6TH_TIME_BW_ISSUE</t>
  </si>
  <si>
    <t>7TH_TIME_BW_ISSUE</t>
  </si>
  <si>
    <t>8TH_TIME_BW_ISSUE</t>
  </si>
  <si>
    <t>9TH_TIME_BW_ISSUE</t>
  </si>
  <si>
    <t>10TH_TIME_BW_ISSUE</t>
  </si>
  <si>
    <t>11TH_TIME_BW_ISSUE</t>
  </si>
  <si>
    <t>AW_ISSUED_1ST_TIME</t>
  </si>
  <si>
    <t>AW_ISSUED_2ND_TIME</t>
  </si>
  <si>
    <t>AW_ISSUED_3RD_TIME</t>
  </si>
  <si>
    <t>AW_ISSUED_4TH_TIME</t>
  </si>
  <si>
    <t>AW_ISSUED_5TH_TIME</t>
  </si>
  <si>
    <t>AW_ISSUED_6TH_TIME</t>
  </si>
  <si>
    <t>TO_WHOM_BW_SENT_FIRST_TIME</t>
  </si>
  <si>
    <t>Ranjeet Singh</t>
  </si>
  <si>
    <t>DATE_OF_BW_SENT_FIRST_TIME</t>
  </si>
  <si>
    <t>03-09-2021</t>
  </si>
  <si>
    <t>MODE_OF_BW_SENT_FIRST_TIME</t>
  </si>
  <si>
    <t>by hand to ranjeet</t>
  </si>
  <si>
    <t>POD_NO_FOR_BW_SENT_FIRST_TIME</t>
  </si>
  <si>
    <t>TO_WHOM_BW_SENT_SECOND_TIME</t>
  </si>
  <si>
    <t>DATE_OF_BW_SENT_SECOND_TIME</t>
  </si>
  <si>
    <t>MODE_OF_BW_SENT_SECOND_TIME</t>
  </si>
  <si>
    <t>POD_NO_FOR_BW_SENT_SECOND_TIME</t>
  </si>
  <si>
    <t>TO_WHOM_BW_SENT_THIRD_TIME</t>
  </si>
  <si>
    <t>Umesh Bhatt</t>
  </si>
  <si>
    <t>DATE_OF_BW_SENT_THIRD_TIME</t>
  </si>
  <si>
    <t>19-Oct-2023</t>
  </si>
  <si>
    <t>MODE_OF_BW_SENT_THIRD_TIME</t>
  </si>
  <si>
    <t>Hand To HO</t>
  </si>
  <si>
    <t>POD_NO_FOR_BW_SENT_THIRD_TIME</t>
  </si>
  <si>
    <t>TO_WHOM_BW_SENT_FOURTH_TIME</t>
  </si>
  <si>
    <t>DATE_OF_BW_SENT_FOURTH_TIME</t>
  </si>
  <si>
    <t>MODE_OF_BW_SENT_FOURTH_TIME</t>
  </si>
  <si>
    <t>POD_NO_FOR_BW_SENT_FOURTH_TIME</t>
  </si>
  <si>
    <t>TO_WHOM_BW_SENT_FIFTH_TIME</t>
  </si>
  <si>
    <t>DATE_OF_BW_SENT_FIFTH_TIME</t>
  </si>
  <si>
    <t>MODE_OF_BW_SENT_FIFTH_TIME</t>
  </si>
  <si>
    <t>POD_NO_FOR_BW_SENT_FIFTH_TIME</t>
  </si>
  <si>
    <t>TO_WHOM_BW_SENT_SIXTH_TIME</t>
  </si>
  <si>
    <t>DATE_OF_BW_SENT_SIXTH_TIME</t>
  </si>
  <si>
    <t>MODE_OF_BW_SENT_SIXTH_TIME</t>
  </si>
  <si>
    <t>POD_NO_FOR_BW_SENT_SIXTH_TIME</t>
  </si>
  <si>
    <t>TO_WHOM_BW_SENT_SEVENTH_TIME</t>
  </si>
  <si>
    <t>DATE_OF_BW_SENT_SEVENTH_TIME</t>
  </si>
  <si>
    <t>MODE_OF_BW_SENT_SEVENTH_TIME</t>
  </si>
  <si>
    <t>POD_NO_FOR_BW_SENT_SEVENTH_TIME</t>
  </si>
  <si>
    <t>TO_WHOM_BW_SENT_8TH_TIME</t>
  </si>
  <si>
    <t>DATE_OF_BW_SENT_8TH_TIME</t>
  </si>
  <si>
    <t>MODE_OF_BW_SENT_8TH_TIME</t>
  </si>
  <si>
    <t>POD_NO_FOR_BW_SENT_8TH_TIME</t>
  </si>
  <si>
    <t>TO_WHOM_BW_SENT_9TH_TIME</t>
  </si>
  <si>
    <t>DATE_OF_BW_SENT_9TH_TIME</t>
  </si>
  <si>
    <t>MODE_OF_BW_SENT_9TH_TIME</t>
  </si>
  <si>
    <t>POD_NO_FOR_BW_SENT_9TH_TIME</t>
  </si>
  <si>
    <t>TO_WHOM_BW_SENT_10TH_TIME</t>
  </si>
  <si>
    <t>DATE_OF_BW_SENT_10TH_TIME</t>
  </si>
  <si>
    <t>MODE_OF_BW_SENT_10TH_TIME</t>
  </si>
  <si>
    <t>POD_NO_FOR_BW_SENT_10TH_TIME</t>
  </si>
  <si>
    <t>TO_WHOM_BW_SENT_11TH_TIME</t>
  </si>
  <si>
    <t>DATE_OF_BW_SENT_11TH_TIME</t>
  </si>
  <si>
    <t>MODE_OF_BW_SENT_11TH_TIME</t>
  </si>
  <si>
    <t>POD_NO_FOR_BW_SENT_11TH_TIME</t>
  </si>
  <si>
    <t>TO_WHOM_AW_SENT_FIRST_TIME</t>
  </si>
  <si>
    <t>DATE_OF_AW_SENT_FIRST_TIME</t>
  </si>
  <si>
    <t>MODE_OF_AW_SENT_FIRST_TIME</t>
  </si>
  <si>
    <t>POD_NOREGISTRY_FOR_AW_SENT_FIRST_TIME</t>
  </si>
  <si>
    <t>TO_WHOM_AW_SENT_SECOND_TIME</t>
  </si>
  <si>
    <t>DATE_OF_AW_SENT_SECOND_TIME</t>
  </si>
  <si>
    <t>MODE_OF_AW_SENT_SECOND_TIME</t>
  </si>
  <si>
    <t>POD_NOREGISTRY_FOR_AW_SENT_SECOND_TIME</t>
  </si>
  <si>
    <t>TO_WHOM_AW_SENT_THIRD_TIME</t>
  </si>
  <si>
    <t>DATE_OF_AW_SENT_THIRD_TIME</t>
  </si>
  <si>
    <t>MODE_OF_AW_SENT_THIRD_TIME</t>
  </si>
  <si>
    <t>POD_NOREGISTRY_FOR_AW_SENT_THIRD_TIME</t>
  </si>
  <si>
    <t>TO_WHOM_AW_SENT_FOURTH_TIME</t>
  </si>
  <si>
    <t>DATE_OF_AW_SENT_FOURTH_TIME</t>
  </si>
  <si>
    <t>MODE_OF_AW_SENT_FOURTH_TIME</t>
  </si>
  <si>
    <t>POD_NOREGISTRY_FOR_AW_SENT_FOURTH_TIME</t>
  </si>
  <si>
    <t>TO_WHOM_AW_SENT_FIFTH_TIME</t>
  </si>
  <si>
    <t>DATE_OF_AW_SENT_FIFTH_TIME</t>
  </si>
  <si>
    <t>MODE_FOR_AW_FIFTH_TIME</t>
  </si>
  <si>
    <t>POD_NOREGISTRY_FOR_AW_FIFTH_TIME</t>
  </si>
  <si>
    <t>TO_WHOM_AW_SENT_SIXTH_TIME</t>
  </si>
  <si>
    <t>DATE_OF_AW_SENT_SIXTH_TIME</t>
  </si>
  <si>
    <t>MODE_FOR_AW_SIXTH_TIME</t>
  </si>
  <si>
    <t>POD_NOREGISTRY_FOR_AW_SIXTH_TIME</t>
  </si>
  <si>
    <t>CONTACT</t>
  </si>
  <si>
    <t>MANAGER</t>
  </si>
  <si>
    <t>CASTE_FOR_AW</t>
  </si>
  <si>
    <t>FATHER_NAME_FOR_AW</t>
  </si>
  <si>
    <t>FINAL_STATUS_OF_EXECUTION</t>
  </si>
  <si>
    <t>EXECUTION_COMPLETED_BW_FIRST_TIME</t>
  </si>
  <si>
    <t>RECEIVED_TO_HO_BW_FIRST_TIME</t>
  </si>
  <si>
    <t>EXECUTION_COMPLETED_BW_SECOND_TIME</t>
  </si>
  <si>
    <t>RECEIVED_TO_HO_BW_SECOND_TIME</t>
  </si>
  <si>
    <t>EXECUTION_COMPLETED_BW_THIRD_TIME</t>
  </si>
  <si>
    <t>RECEIVED_TO_HO_BW_THIRD_TIME</t>
  </si>
  <si>
    <t>EXECUTION_COMPLETED_BW_FOURTH_TIME</t>
  </si>
  <si>
    <t>RECEIVED_TO_HO_BW_FOURTH_TIME</t>
  </si>
  <si>
    <t>EXECUTION_COMPLETED_BW_FIFTH_TIME</t>
  </si>
  <si>
    <t>RECEIVED_TO_HO_BW_FIFTH_TIME</t>
  </si>
  <si>
    <t>EXECUTION_COMPLETED_BW_SIXTH_TIME</t>
  </si>
  <si>
    <t>RECEIVED_TO_HO_BW_SIXTH_TIME</t>
  </si>
  <si>
    <t>EXECUTION_COMPLETED_BW_SEVENTH_TIME</t>
  </si>
  <si>
    <t>RECEIVED_TO_HO_BW_SEVENTH_TIME</t>
  </si>
  <si>
    <t>EXECUTION_COMPLETED_BW_EIGHTH_TIME</t>
  </si>
  <si>
    <t>RECEIVED_TO_HO_BW_EIGHTH_TIME</t>
  </si>
  <si>
    <t>EXECUTION_COMPLETED_AW</t>
  </si>
  <si>
    <t>REMARKS_1</t>
  </si>
  <si>
    <t>REMARKS_FOR_AW</t>
  </si>
  <si>
    <t>CASES_STATUS_REMARKS</t>
  </si>
  <si>
    <t>BW_RECD_IN_COURT</t>
  </si>
  <si>
    <t>FILED_BY</t>
  </si>
  <si>
    <t>Adv. Neeraj Sethi Ji</t>
  </si>
  <si>
    <t>LNRJS00614-150009966/NI ACT-138/43223</t>
  </si>
  <si>
    <t>LNRJS00614-150009966</t>
  </si>
  <si>
    <t>RAJASTHAN-2</t>
  </si>
  <si>
    <t>Rajsamand</t>
  </si>
  <si>
    <t>Ankur Singh - 9773331956</t>
  </si>
  <si>
    <t xml:space="preserve">BHERU    LAL  GARASIYA </t>
  </si>
  <si>
    <t>CHEQUE_NO</t>
  </si>
  <si>
    <t>BANK_NAME</t>
  </si>
  <si>
    <t>PNB</t>
  </si>
  <si>
    <t>BANK_BRANCH</t>
  </si>
  <si>
    <t>NA</t>
  </si>
  <si>
    <t>7,93,648</t>
  </si>
  <si>
    <t>NI ACT-138</t>
  </si>
  <si>
    <t>2020/18</t>
  </si>
  <si>
    <t>NI-4 (ii)</t>
  </si>
  <si>
    <t>PREVIOUS_DATE</t>
  </si>
  <si>
    <t>REPORT</t>
  </si>
  <si>
    <t>COGNIZANCE_ARGUMENT</t>
  </si>
  <si>
    <t>BNSS_223_NOTICE</t>
  </si>
  <si>
    <t>SUMMON</t>
  </si>
  <si>
    <t>EVIDENCE</t>
  </si>
  <si>
    <t>REMARKS_FOR_WARRANT_HOLD</t>
  </si>
  <si>
    <t>Jagdish Choudhary</t>
  </si>
  <si>
    <t>Blue Dart Courier</t>
  </si>
  <si>
    <t>Devendra Singh</t>
  </si>
  <si>
    <t>PROFESSIONAL</t>
  </si>
  <si>
    <t>jpr500956562</t>
  </si>
  <si>
    <t>POD_NO_FOR_BW_SENT_FOURTHTIME</t>
  </si>
  <si>
    <t>POD_NO_FOR_BW_SENT_FIFTHTIME</t>
  </si>
  <si>
    <t>TO_WHOM_BW_SENT_12TH_TIME</t>
  </si>
  <si>
    <t>DATE_OF_BW_SENT_12TH_TIME</t>
  </si>
  <si>
    <t>MODE_OF_BW_SENT_12TH_TIME</t>
  </si>
  <si>
    <t>POD_NO_FOR_BW_SENT_12TH_TIME</t>
  </si>
  <si>
    <t>MODE_FOR_AW_FIRST_TIME</t>
  </si>
  <si>
    <t>POD_NO_REGISTRY_FOR_AW_FIRST_TIME</t>
  </si>
  <si>
    <t>MODE_FOR_AW_SECOND_TIME</t>
  </si>
  <si>
    <t>POD_NO_REGISTRY_FOR_AW_SECOND_TIME</t>
  </si>
  <si>
    <t>MODE_FOR_AW_THIRD_TIME</t>
  </si>
  <si>
    <t>POD_NO_REGISTRY_FOR_AW_THIRD_TIME</t>
  </si>
  <si>
    <t>MODE_FOR_AW_FOURT_TIME</t>
  </si>
  <si>
    <t>POD_NO_REGISTRY_FOR_AW_FOURT_TIME</t>
  </si>
  <si>
    <t>POD_NO_REGISTRY_FOR_AW_FIFTH_TIME</t>
  </si>
  <si>
    <t>POD_NO_REGISTRY_FOR_AW_SIXTH_TIME</t>
  </si>
  <si>
    <t>TO_WHOM_AW_SENT_SEVENTH_TIME</t>
  </si>
  <si>
    <t>DATE_OF_AW_SENT_SEVENTH_TIME</t>
  </si>
  <si>
    <t>MODE_FOR_AW_SEVENTH_TIME</t>
  </si>
  <si>
    <t>POD_NO_REGISTRY_FOR_AW_SEVENTH_TIME</t>
  </si>
  <si>
    <t>FINAL_EXECUTION_STATUS</t>
  </si>
  <si>
    <t>EXECUTION_COMPLETED_IN_AW</t>
  </si>
  <si>
    <t>ACTIVE_OR_CLOSED</t>
  </si>
  <si>
    <t>Conclusive KPI in Build</t>
  </si>
  <si>
    <t>Status</t>
  </si>
  <si>
    <t>Semantic Layer Coverage</t>
  </si>
  <si>
    <t>Total Loan Count</t>
  </si>
  <si>
    <t>Delinquency Semantic layer</t>
  </si>
  <si>
    <t xml:space="preserve">It refers to the count of active customers to whom either full or partial loan amount has been disbursed and outstanding sum principle amount or interest is due </t>
  </si>
  <si>
    <t>Total POS</t>
  </si>
  <si>
    <t>It refers to the principle outstanding sum of the original loan amount that the Customer still owes to the Aavas in terms when either full or partial loan amount has been disbursed to the Customer</t>
  </si>
  <si>
    <t>1+ % on POS</t>
  </si>
  <si>
    <t>% of principle outstanding sum of the original loan amount that the Customer still owes to the Aavas in terms when either full or partial loan amount has been disbursed to the Customer</t>
  </si>
  <si>
    <t>NPA % on POS</t>
  </si>
  <si>
    <t>It refers to the percentage of principle outstanding sum of the original loan amount that the Customer still owes to the Aavas in terms when previous month due pending days exceeds 90 or in AFS. It can be calculated through (NPA POS/Total POS)</t>
  </si>
  <si>
    <t>NPA Count</t>
  </si>
  <si>
    <t>It refers to the count of active loan numbers of the customers whose previous month days past due day is greater than 90 or in AFS</t>
  </si>
  <si>
    <t>NPA POS</t>
  </si>
  <si>
    <t>It refers to the principle outstanding sum of the original loan amount that the Customer still owes to the Aavas in terms, whose previous month due pending days exceeds 90 or in AFS</t>
  </si>
  <si>
    <t>Loan Count ON Book</t>
  </si>
  <si>
    <t>POS Count ON Book</t>
  </si>
  <si>
    <t>Loan Count OFF Book</t>
  </si>
  <si>
    <t>POS Count OFF Book</t>
  </si>
  <si>
    <t>Loan Count OFF PTC</t>
  </si>
  <si>
    <t>POS Count OFF PTC</t>
  </si>
  <si>
    <t>Cheque in Transit Customer Count</t>
  </si>
  <si>
    <t>It refers to the count of active customers whose payment made through cheque is not yet cleared</t>
  </si>
  <si>
    <t>Cheque in Transit Customer POS</t>
  </si>
  <si>
    <t>It refers to the principle outstanding sum of customers whose payment made through cheque is not yet cleared</t>
  </si>
  <si>
    <t>Clearance Mark Count</t>
  </si>
  <si>
    <t>It refers to the count of active loan numbers of the customers whose payment made through cheque has been cleared</t>
  </si>
  <si>
    <t xml:space="preserve">Clearance Mark POS </t>
  </si>
  <si>
    <t>In Progress</t>
  </si>
  <si>
    <t>It refers to the principle outstanding sum of the original loan amount that the Customer still owes to the Aavas and installment due paid through cheque stands clear</t>
  </si>
  <si>
    <t xml:space="preserve">Normal Count </t>
  </si>
  <si>
    <t>It refers to the count of active loan numbers of the customers whose installment has been received on time</t>
  </si>
  <si>
    <t>Normal POS</t>
  </si>
  <si>
    <t>It refers to the principle outstanding sum of the original loan amount that the Customer still owes to the Aavas in terms, whose installment has been received on time</t>
  </si>
  <si>
    <t xml:space="preserve">Rollback Count </t>
  </si>
  <si>
    <t>It refers to the count of active loan numbers of the customers whose Op.DPD &gt; Current DPD</t>
  </si>
  <si>
    <t xml:space="preserve">Rollback POS </t>
  </si>
  <si>
    <t>It refers to the principle outstanding sum of the original loan amount that the Customer still owes to the Aavas in terms, whose Op.DPD &gt; Current DPD</t>
  </si>
  <si>
    <t xml:space="preserve">Stable Count </t>
  </si>
  <si>
    <t>It refers to the count of active loan numbers of the customers whose previous month pending due days is equals to the current pending due days</t>
  </si>
  <si>
    <t xml:space="preserve">Stable POS </t>
  </si>
  <si>
    <t>It refers to the principle outstanding sum of the original loan amount that the Customer still owes to the Aavas in terms whose previous month pending due days is equals to the current pending due days</t>
  </si>
  <si>
    <t xml:space="preserve">RTD (Return to Default) Count </t>
  </si>
  <si>
    <t>It refers to the count of active loan numbers of the customers whose previous month pending due days is greater than 90 and current pending due days is less than 90 days i.e., a customer who is NPA in previous month and currently due days is less than 90 days</t>
  </si>
  <si>
    <t>RTD (Return to Default) POS</t>
  </si>
  <si>
    <t>It refers to the principle outstanding sum of the original loan amount that the Customer still owes to the Aavas in terms whose previous month pending due days is greater than 90 and current pending due days is less than 90 days i.e., a customer who is NPA in previous month and currently due days is less than 90 days</t>
  </si>
  <si>
    <t xml:space="preserve">Rollforward Count </t>
  </si>
  <si>
    <t>Count of active loan numbers whose Op.DPD &lt; DPD</t>
  </si>
  <si>
    <t>Rollforward POS</t>
  </si>
  <si>
    <t>Total principle outstanding amount of loan numbers whose  Op.DPD &lt; DPD</t>
  </si>
  <si>
    <t>Resolution Count</t>
  </si>
  <si>
    <t xml:space="preserve">It refers to the percentage of count of active loan no under (Clearance Mark, Normal, Rollback, Stable, RTD)/Total </t>
  </si>
  <si>
    <t>Resolution POS</t>
  </si>
  <si>
    <t xml:space="preserve">It refers to the percent of outstanding principle amount under (Clearance Mark, Normal, Rollback, Stable, RTD)/Total </t>
  </si>
  <si>
    <t>EMI Normal Count</t>
  </si>
  <si>
    <t>It refers to the count of active loan numbers to whom full loan amount has been disbursed and the installment has been received on time</t>
  </si>
  <si>
    <t>EMI Normal POS</t>
  </si>
  <si>
    <t>It refers to the principle outstanding sum of the original loan amount that the Customer still owes to the Aavas in terms when the full loan amount has been disbursed to the Customer and the installment has been received on time</t>
  </si>
  <si>
    <t>EMI Stable Count</t>
  </si>
  <si>
    <t>It refers to the count of active loan numbers to whom full loan amount has been disbursed and their previous month pending due days is equals to the current pending due days</t>
  </si>
  <si>
    <t>EMI Stable POS</t>
  </si>
  <si>
    <t>It refers to the principle outstanding sum of the original loan amount that the Customer still owes to the Aavas in terms when the full loan amount has been disbursed and their previous month pending due days is equals to the current pending due days</t>
  </si>
  <si>
    <t>PEMI Normal Count</t>
  </si>
  <si>
    <t>It refers to the count of active loan numbers to whom partial loan amount has been disbursed and the installment has been received on time</t>
  </si>
  <si>
    <t>PEMI Normal POS</t>
  </si>
  <si>
    <t>It refers to the principle outstanding sum of the original loan amount that the Customer still owes to the Aavas in terms when the partial loan amount has been disbursed to the Customer  and the installment has been received on time</t>
  </si>
  <si>
    <t>PEMI Stable Count</t>
  </si>
  <si>
    <t>It refers to the count of active loan numbers to whom partial loan amount has been disbursed and their previous month pending due days is equals to the current pending due days</t>
  </si>
  <si>
    <t>PEMI Stable POS</t>
  </si>
  <si>
    <t>It refers to the principle outstanding sum of the original loan amount that the Customer still owes to the Aavas in terms when the partial loan amount has been disbursed to the Customer and their previous month pending due days is equals to the current pending due days</t>
  </si>
  <si>
    <t>Diff POS (Op.FY-Current Month)</t>
  </si>
  <si>
    <t>It refers to the difference of principle outstanding sum between the current month and the previous month</t>
  </si>
  <si>
    <t>Diff NPA POS (Op.FY-Current Month)</t>
  </si>
  <si>
    <t xml:space="preserve">It refers to the difference of principle outstanding sum between the current month and the previous month of the original loan amount that the Customer still owes to the Aavas in terms when previous month due pending days and current month due pending days exceeds 90 </t>
  </si>
  <si>
    <t>Paid Loan Count</t>
  </si>
  <si>
    <t>It refers to the count of active loan numbers of the customers whose status of loans are not in 'Cheque In Transit' or 'Rollforward'</t>
  </si>
  <si>
    <t>Unpaid Loan Count</t>
  </si>
  <si>
    <t>It refers to the count of active loan numbers of the customers whose status of loans are 'Cheque In Transit' or 'Rollforward'</t>
  </si>
  <si>
    <t>Paid Loan POS</t>
  </si>
  <si>
    <t>It refers to the principle outstanding sum of the original loan amount that the Customer still owes to the Aavas in terms, whose status of loans are not in 'Cheque In Transit' or 'Rollforward'</t>
  </si>
  <si>
    <t>Unpaid Loan POS</t>
  </si>
  <si>
    <t>It refers to the principle outstanding sum of the original loan amount that the Customer still owes to the Aavas in terms, whose status is 'Cheque In Transit' or 'Rollforward'</t>
  </si>
  <si>
    <t xml:space="preserve">As On Date Normal </t>
  </si>
  <si>
    <t>It refers to the principle outstanding sum of the original loan amount that the Customer still owes to the Aavas who was deliquent in the closing of previous month and gets normal in the current month</t>
  </si>
  <si>
    <t>Normalization %</t>
  </si>
  <si>
    <t>It refers to the percentage of principle outstanding sum of the original loan amount that the Customer still owes to the Aavas with respect to the principle outstanding sum whose installment has been received on regular cycle date</t>
  </si>
  <si>
    <t>Mar Normal %</t>
  </si>
  <si>
    <t>It refers to the percentage of principle outstanding sum of the original loan amount that the Customer still owes to the Aavas with respect to the principle outstanding sum whose installment has been received on regular cycle date at end of the financial year</t>
  </si>
  <si>
    <t>Resolution Paid Count</t>
  </si>
  <si>
    <t>It refers to the percentage of Paid Count with respect of the total count</t>
  </si>
  <si>
    <t>Mar XX %</t>
  </si>
  <si>
    <t>It refers to the percentage of Paid Count with respect of the total count at the end of the financial year</t>
  </si>
  <si>
    <t>Ranking</t>
  </si>
  <si>
    <t>It refers to the ranking based on the Resolution Paid Count of the loan numbers</t>
  </si>
  <si>
    <t>Ranking &gt;= 100%</t>
  </si>
  <si>
    <t>It refers to the Count of the loan numbers whose ranking based on the Resolution Paid &gt;= 100%</t>
  </si>
  <si>
    <t>Affordable Paid Count</t>
  </si>
  <si>
    <t>It refers to the count of active loan numbers of the customers whose product category is 'Affordable', status of loans are not in 'Cheque In Transit' or 'Rollforward'</t>
  </si>
  <si>
    <t>Affordable Unpaid Count</t>
  </si>
  <si>
    <t>It refers to the count of active loan numbers of the customers whose product category is 'Affordable', bucket Head is 'Affordable and MSME' and status of loans is 'Cheque In Transit' or 'Rollforward'</t>
  </si>
  <si>
    <t>Affordable Grand Total Count</t>
  </si>
  <si>
    <t>It refers to the total count of active loan numbers of the customers whose product category is 'Affordable', and bucket Head is 'Affordable and MSME'</t>
  </si>
  <si>
    <t>Affordable Reso%</t>
  </si>
  <si>
    <t>It refers to the percentage of Paid Count with respect of the total count whose product category is 'Affordable', and bucket Head is 'Affordable and MSME'</t>
  </si>
  <si>
    <t>Affordable Normal Count</t>
  </si>
  <si>
    <t>It refers to the count of active loan numbers of the customers whose product category is 'Affordable', bucket Head is 'Affordable and MSME' and installment has been paid on time</t>
  </si>
  <si>
    <t>Affordable Stable Count</t>
  </si>
  <si>
    <t>It refers to the count of active loan numbers of the customers whose product category is 'Affordable', bucket Head is 'Affordable and MSME' and whose previous month pending due days is equals to the current pending due days</t>
  </si>
  <si>
    <t>Affordable Rollforward Count</t>
  </si>
  <si>
    <t>Count of active loan numbers whose product category is 'Affordable', bucket Head is 'Affordable and MSME' and Op.DPD &lt; DPD</t>
  </si>
  <si>
    <t>Affordable Cheque in transit Count</t>
  </si>
  <si>
    <t>It refers to the count of active loan numbers of the customers whose product category is 'Affordable', bucket Head is 'Affordable and MSME' and previous month pending due day has been passed and rollforward to the current month and customer has processed the cheque</t>
  </si>
  <si>
    <t>&gt;=25 Lac POS Paid Cases</t>
  </si>
  <si>
    <t>It refers to the count of active loan numbers of the customers whose Total POS &gt;= 25 Lacs and status of loans are not in 'Cheque In Transit' or 'Rollforward'</t>
  </si>
  <si>
    <t>&gt;=25 Lac POS Unpaid Cases</t>
  </si>
  <si>
    <t>It refers to the count of active loan numbers of the customers whose Total POS &gt;= 25 Lacs and status of loans is 'Cheque In Transit' or 'Rollforward'</t>
  </si>
  <si>
    <t>Total Loan Count whose DPD = 0, Paid Status = Paid and Total Instalment No &gt;=6</t>
  </si>
  <si>
    <t>It refers to the count of loan numbers whose DPD = 0, Paid Status = Paid and Total Instalment No &gt;=6</t>
  </si>
  <si>
    <t>Penal Amount Outstanding whose DPD = 0, Paid Status = Paid and Total Instalment No &gt;=6</t>
  </si>
  <si>
    <t>It refers to the penal amount oustanding of loan numbers whose DPD = 0, Paid Status = Paid and Total Instalment No &gt;=6</t>
  </si>
  <si>
    <t>Penal Amount Paid whose DPD = 0, Paid Status = Paid and Total Instalment No &gt;=6</t>
  </si>
  <si>
    <t>It refers to the penal amount paid of loan numbers whose DPD = 0, Paid Status = Paid and Total Instalment No &gt;=6</t>
  </si>
  <si>
    <t>Penal Resolution</t>
  </si>
  <si>
    <t>It refers to the percentage of Total Penal Amount Received with respect of the Total Outstanding Penal Amount whose product category is 'Affordable', and bucket Head is 'Affordable and MSME'</t>
  </si>
  <si>
    <t>Mora Total POS</t>
  </si>
  <si>
    <t>It refers to the principle outstanding sum of the moratorium loan amount that the Customer still owes to the Aavas</t>
  </si>
  <si>
    <t>Mora Unpaid Count</t>
  </si>
  <si>
    <t xml:space="preserve">It is the sum count of unpaid moratorium loan numbers </t>
  </si>
  <si>
    <t>Mora Unpaid POS</t>
  </si>
  <si>
    <t>It refers to the principle outstanding sum of the moratorium unpaid loan amount that the Customer still owes to the Aavas</t>
  </si>
  <si>
    <t xml:space="preserve">Moratorium MIS Normal Count </t>
  </si>
  <si>
    <t>It refers to the count of moratorium mis 2021 active loan numbers of the customers whose installment has been received on time</t>
  </si>
  <si>
    <t>Moratorium MIS Normal POS</t>
  </si>
  <si>
    <t>It refers to the principle outstanding sum of the moratorium mis 2021 loan amount that the Customer still owes to the Aavas in terms, whose installment has been received on time</t>
  </si>
  <si>
    <t>Moratorium MIS Clearance Mark Count</t>
  </si>
  <si>
    <t>It refers to the count of active moratorium mis 2021 loan numbers of the customers whose payment made through cheque has been cleared</t>
  </si>
  <si>
    <t xml:space="preserve">Moratorium MIS Clearance Mark POS </t>
  </si>
  <si>
    <t>It refers to the principle outstanding sum of the moratorium mis 2021 loan amount that the Customer still owes to the Aavas and installment due paid through cheque stands clear</t>
  </si>
  <si>
    <t xml:space="preserve">Moratorium MIS Stable Count </t>
  </si>
  <si>
    <t>It refers to the count of active moratorium mis 2021 loan numbers of the customers whose previous month pending due days is equals to the current pending due days</t>
  </si>
  <si>
    <t xml:space="preserve">Moratorium MIS Stable POS </t>
  </si>
  <si>
    <t>It refers to the principle outstanding sum of the moratorium mis 2021 loan amount that the Customer still owes to the Aavas in terms whose previous month pending due days is equals to the current pending due days</t>
  </si>
  <si>
    <t xml:space="preserve">Moratorium MIS Rollforward Count </t>
  </si>
  <si>
    <t>Count of active moratorium mis 2021 loan numbers whose Op.DPD &lt; DPD</t>
  </si>
  <si>
    <t>Moratorium MIS Rollforward POS</t>
  </si>
  <si>
    <t>Total principle outstanding amount of moratorium mis 2021 loan numbers whose  Op.DPD &lt; DPD</t>
  </si>
  <si>
    <t>Moratorium MIS Chq in transit Count</t>
  </si>
  <si>
    <t>It refers to the count of active moratorium mis 2021 loan numbers of the customers whose previous month pending due day has been passed and rollforward to the current month and customer has processed the cheque</t>
  </si>
  <si>
    <t>Moratorium MIS Chq in transit POS</t>
  </si>
  <si>
    <t>It refers to the principle outstanding sum of the moratorium mis 2021 loan amount that the Customer still owes to the Aavas in terms whose previous month pending due day has been passed and rollforward to the current month and customer has processed the cheque</t>
  </si>
  <si>
    <t>Moratorium MIS Resolution Count</t>
  </si>
  <si>
    <t xml:space="preserve">It refers to the percentage of count of active moratorium mis 2021 loan no under (Clearance Mark, Normal, Rollback, Stable, RTD)/Total </t>
  </si>
  <si>
    <t>Moratorium MIS Resolution POS</t>
  </si>
  <si>
    <t xml:space="preserve">It refers to the percent of outstanding principle amount of moratorium mis 2021 loan numbers under (Clearance Mark, Normal, Rollback, Stable, RTD)/Total </t>
  </si>
  <si>
    <t>Month opening dpd</t>
  </si>
  <si>
    <t>Month ending dpd</t>
  </si>
  <si>
    <t>month beginning total due</t>
  </si>
  <si>
    <t>Month beginning principal due</t>
  </si>
  <si>
    <t>Month beginning charges due</t>
  </si>
  <si>
    <t>Month principal due added</t>
  </si>
  <si>
    <t>Month charges added</t>
  </si>
  <si>
    <t>Month closing principal due</t>
  </si>
  <si>
    <t>Month closing charges due</t>
  </si>
  <si>
    <t>Account status (roll-forward, stabilized, roll-back, normalized)</t>
  </si>
  <si>
    <t>SL.NO</t>
  </si>
  <si>
    <t>Total loan Count On Book</t>
  </si>
  <si>
    <t>Total loan Count Off Book</t>
  </si>
  <si>
    <t>Total POS Value ON Book</t>
  </si>
  <si>
    <t>Total POS Value Off Book</t>
  </si>
  <si>
    <t>Total loan Count Off PTC Book</t>
  </si>
  <si>
    <t>Total POS Value Off PTC Book</t>
  </si>
  <si>
    <t>Bouncing %</t>
  </si>
  <si>
    <t>Bounce Semantic Layer</t>
  </si>
  <si>
    <t>It refers to the percentage of count of active loan numbers of the customers whose cheque payment has been bounched. It can be calculated through (Bouncing Count/Total Count)</t>
  </si>
  <si>
    <t>Bouncing Count</t>
  </si>
  <si>
    <t>It refers to the count of active loan numbers of the customers whose cheque payment has been bounced on due date</t>
  </si>
  <si>
    <t>Last 12 months gross bounce string(delimited string)</t>
  </si>
  <si>
    <t>AFS Closed Count</t>
  </si>
  <si>
    <t>Doubtful</t>
  </si>
  <si>
    <t>It refers to the count of loan numbers whose asset possession is done and ready for sale and loan status is 'Closed'</t>
  </si>
  <si>
    <t>AFS Normal Count</t>
  </si>
  <si>
    <t>It refers to the count of active loan numbers whose asset possession is done and ready for sale and whose dpd is 0</t>
  </si>
  <si>
    <t>AFS EMD Count</t>
  </si>
  <si>
    <t>It refers to the count of remarks passed for the Earnest Money Deposit at the time of auction of the property from the bidder</t>
  </si>
  <si>
    <t>AFS Rollforward Count</t>
  </si>
  <si>
    <t>It refers to the count of active loan numbers whose asset possession is done and ready for sale and Op.DPD &lt; DPD</t>
  </si>
  <si>
    <t>AFS Cheque in Transit Count</t>
  </si>
  <si>
    <t>It refers to the count of active loan numbers whose asset possession is done and ready for sale and whose previous month pending due day has been passed and rollforward to the current month and customer has processed the cheque</t>
  </si>
  <si>
    <t>AFS Resolution %</t>
  </si>
  <si>
    <t>It refers to the percentage of count of active loan no whose asset possession is done and ready for sale, under (Clearance Mark, Normal, Rollback, Stable, RTD)/Total Count</t>
  </si>
  <si>
    <t>Total Penal Received Loan Count</t>
  </si>
  <si>
    <t>It refers to the count of active loan numbers of the customers whose penal charges has been received</t>
  </si>
  <si>
    <t>Total Penal Loan Amount Received</t>
  </si>
  <si>
    <t>It refers to the penalcharges amount of loan numbers of the customers whose penal charges has been received</t>
  </si>
  <si>
    <t>Penal %</t>
  </si>
  <si>
    <t>It refers to the percentage of count of paid loan no with respect to the loan no whose has paid their penal charges</t>
  </si>
  <si>
    <t>Month beginning fees due</t>
  </si>
  <si>
    <t>Month principal payments made</t>
  </si>
  <si>
    <t>Month charges payments made</t>
  </si>
  <si>
    <t>Month principal write off</t>
  </si>
  <si>
    <t>Total write off on account</t>
  </si>
  <si>
    <t>Dpd day after first presentation</t>
  </si>
  <si>
    <t>Dpd day after second presentation</t>
  </si>
  <si>
    <t>Month payments collected</t>
  </si>
  <si>
    <t>Number of payments made</t>
  </si>
  <si>
    <t>Number and amount of payments through NACH</t>
  </si>
  <si>
    <t>Number and amount of payments through RTGS</t>
  </si>
  <si>
    <t>Number and amount of payments made through digital</t>
  </si>
  <si>
    <t>Number and amount payments made through cash</t>
  </si>
  <si>
    <t>Last 12 month bounce model response string (delimited string)</t>
  </si>
  <si>
    <t>Last 12 months net bounce string(delimited string)</t>
  </si>
  <si>
    <t>Last 12 months month beginning delinquency string(delimited string)</t>
  </si>
  <si>
    <t>Last 12 months month end delinquency string(delimited string)</t>
  </si>
  <si>
    <t>Cash Count</t>
  </si>
  <si>
    <t>Cash Sum</t>
  </si>
  <si>
    <t>Direct Debit Count</t>
  </si>
  <si>
    <t>Direct Debit Sum</t>
  </si>
  <si>
    <t>Draft Count</t>
  </si>
  <si>
    <t>Draft Sum</t>
  </si>
  <si>
    <t>NEFT Count</t>
  </si>
  <si>
    <t>NEFT Sum</t>
  </si>
  <si>
    <t>RTGS Count</t>
  </si>
  <si>
    <t>RTGS Sum</t>
  </si>
  <si>
    <t>Total Collection Payment Count</t>
  </si>
  <si>
    <t>Total Collection Payment POS</t>
  </si>
  <si>
    <t>Total POS - NPL with Resolution Plan</t>
  </si>
  <si>
    <t>It refers to the principle outstanding sum of the original loan amount that the Customer still owes to the Aavas in terms, whose previous month due pending days exceeds 90 or in AFS and has resoluton plan to close or normal in current month</t>
  </si>
  <si>
    <t>Month receivables (check collections efficiency code for correct name)</t>
  </si>
  <si>
    <t>Joining date of original RO who sourced account</t>
  </si>
  <si>
    <t>Exit date of original RO who sourced account</t>
  </si>
  <si>
    <t>Interaction Trail Semantic Layer</t>
  </si>
  <si>
    <t>yet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</si>
</sst>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mmm/yy;@"/>
    <numFmt numFmtId="165" formatCode="[$-409]d/mmm/yy;@"/>
    <numFmt numFmtId="166" formatCode="[$-409]d\-mmm\-yy;@"/>
    <numFmt numFmtId="167" formatCode="d\ mmm\ yy"/>
    <numFmt numFmtId="168" formatCode="d\-mmm\-yy;@"/>
  </numFmts>
  <fonts count="12" x14ac:knownFonts="1">
    <font>
      <sz val="11"/>
      <color theme="1"/>
      <name val="Calibri"/>
      <family val="2"/>
      <scheme val="minor"/>
    </font>
    <font>
      <b/>
      <sz val="11"/>
      <color theme="1"/>
      <name val="Calibri"/>
      <family val="2"/>
      <scheme val="minor"/>
    </font>
    <font>
      <b/>
      <sz val="11"/>
      <name val="Calibri"/>
      <family val="2"/>
      <scheme val="minor"/>
    </font>
    <font>
      <sz val="8"/>
      <name val="Calibri Light"/>
      <family val="1"/>
      <scheme val="major"/>
    </font>
    <font>
      <sz val="10"/>
      <name val="Calibri"/>
      <family val="2"/>
      <scheme val="minor"/>
    </font>
    <font>
      <sz val="10"/>
      <color theme="1"/>
      <name val="Calibri"/>
      <family val="2"/>
      <scheme val="minor"/>
    </font>
    <font>
      <sz val="11"/>
      <color indexed="8"/>
      <name val="Calibri"/>
      <family val="2"/>
    </font>
    <font>
      <sz val="10"/>
      <color rgb="FF000000"/>
      <name val="Arial"/>
      <family val="2"/>
      <charset val="1"/>
    </font>
    <font>
      <sz val="10"/>
      <name val="Calibri Light"/>
      <family val="2"/>
      <scheme val="major"/>
    </font>
    <font>
      <sz val="10"/>
      <color theme="1"/>
      <name val="Calibri Light"/>
      <family val="2"/>
      <scheme val="major"/>
    </font>
    <font>
      <sz val="10"/>
      <color rgb="FF000000"/>
      <name val="Calibri Light"/>
      <family val="2"/>
      <scheme val="major"/>
    </font>
    <font>
      <sz val="11"/>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22"/>
      </patternFill>
    </fill>
    <fill>
      <patternFill patternType="solid">
        <fgColor theme="0"/>
        <bgColor indexed="64"/>
      </patternFill>
    </fill>
    <fill>
      <patternFill patternType="solid">
        <fgColor rgb="FFFF0000"/>
        <bgColor indexed="22"/>
      </patternFill>
    </fill>
    <fill>
      <patternFill patternType="solid">
        <fgColor theme="3" tint="0.79998168889431442"/>
        <bgColor indexed="22"/>
      </patternFill>
    </fill>
    <fill>
      <patternFill patternType="solid">
        <fgColor theme="0"/>
        <bgColor indexed="47"/>
      </patternFill>
    </fill>
    <fill>
      <patternFill patternType="solid">
        <fgColor theme="0"/>
        <bgColor rgb="FFFFFFCC"/>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1">
      <alignment horizontal="center"/>
    </xf>
    <xf numFmtId="164" fontId="6" fillId="0" borderId="0" applyFill="0" applyBorder="0" applyProtection="0"/>
  </cellStyleXfs>
  <cellXfs count="75">
    <xf numFmtId="0" fontId="0" fillId="0" borderId="0" xfId="0"/>
    <xf numFmtId="0" fontId="1" fillId="0" borderId="1" xfId="0" applyFont="1" applyBorder="1"/>
    <xf numFmtId="0" fontId="0" fillId="0" borderId="1" xfId="0" applyFill="1" applyBorder="1"/>
    <xf numFmtId="0" fontId="0" fillId="0" borderId="1" xfId="0" applyBorder="1"/>
    <xf numFmtId="0" fontId="1" fillId="5" borderId="1" xfId="0" applyFont="1" applyFill="1" applyBorder="1"/>
    <xf numFmtId="0" fontId="0" fillId="0" borderId="1" xfId="0" applyFont="1" applyFill="1" applyBorder="1"/>
    <xf numFmtId="0" fontId="2" fillId="6" borderId="1" xfId="0" applyFont="1" applyFill="1" applyBorder="1"/>
    <xf numFmtId="1" fontId="0" fillId="0" borderId="0" xfId="0" applyNumberFormat="1"/>
    <xf numFmtId="14" fontId="0" fillId="0" borderId="0" xfId="0" applyNumberFormat="1"/>
    <xf numFmtId="0" fontId="1" fillId="4" borderId="1" xfId="0" applyFont="1" applyFill="1" applyBorder="1"/>
    <xf numFmtId="0" fontId="1" fillId="6" borderId="1" xfId="0" applyFont="1" applyFill="1" applyBorder="1"/>
    <xf numFmtId="0" fontId="1" fillId="6" borderId="0" xfId="0" applyFont="1" applyFill="1"/>
    <xf numFmtId="0" fontId="0" fillId="6" borderId="1" xfId="0" applyFill="1" applyBorder="1"/>
    <xf numFmtId="1" fontId="0" fillId="0" borderId="1" xfId="0" applyNumberFormat="1" applyBorder="1"/>
    <xf numFmtId="14" fontId="0" fillId="0" borderId="1" xfId="0" applyNumberFormat="1" applyBorder="1"/>
    <xf numFmtId="0" fontId="0" fillId="0" borderId="1" xfId="0" applyFont="1" applyBorder="1"/>
    <xf numFmtId="0" fontId="0" fillId="0" borderId="1" xfId="0" applyBorder="1" applyAlignment="1">
      <alignment wrapText="1"/>
    </xf>
    <xf numFmtId="0" fontId="0" fillId="0" borderId="1" xfId="0" applyNumberFormat="1" applyFont="1" applyFill="1" applyBorder="1" applyAlignment="1">
      <alignment wrapText="1"/>
    </xf>
    <xf numFmtId="0" fontId="0" fillId="0" borderId="1" xfId="0" applyFont="1" applyFill="1" applyBorder="1" applyAlignment="1">
      <alignment wrapText="1"/>
    </xf>
    <xf numFmtId="0" fontId="0" fillId="0" borderId="1" xfId="0" applyFill="1" applyBorder="1" applyAlignment="1">
      <alignment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4" fillId="8" borderId="1" xfId="1" applyNumberFormat="1" applyFont="1" applyFill="1" applyBorder="1" applyAlignment="1">
      <alignment horizontal="left" vertical="top"/>
    </xf>
    <xf numFmtId="0" fontId="5" fillId="0" borderId="1" xfId="0" applyFont="1" applyBorder="1" applyAlignment="1">
      <alignment horizontal="left" vertical="top"/>
    </xf>
    <xf numFmtId="1" fontId="4" fillId="9"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5" fillId="9" borderId="1" xfId="0" applyFont="1" applyFill="1" applyBorder="1" applyAlignment="1">
      <alignment horizontal="left" vertical="top"/>
    </xf>
    <xf numFmtId="1" fontId="4" fillId="9" borderId="1" xfId="2" applyNumberFormat="1" applyFont="1" applyFill="1" applyBorder="1" applyAlignment="1" applyProtection="1">
      <alignment horizontal="left" vertical="top"/>
    </xf>
    <xf numFmtId="1" fontId="5" fillId="9" borderId="1" xfId="0" applyNumberFormat="1" applyFont="1" applyFill="1" applyBorder="1" applyAlignment="1">
      <alignment horizontal="left" vertical="top"/>
    </xf>
    <xf numFmtId="0" fontId="4" fillId="8" borderId="1" xfId="1" applyNumberFormat="1" applyFont="1" applyFill="1" applyBorder="1" applyAlignment="1">
      <alignment horizontal="left" vertical="top" wrapText="1"/>
    </xf>
    <xf numFmtId="2" fontId="4" fillId="10" borderId="1" xfId="1" applyNumberFormat="1" applyFont="1" applyFill="1" applyBorder="1" applyAlignment="1">
      <alignment horizontal="left" vertical="top"/>
    </xf>
    <xf numFmtId="2" fontId="4" fillId="9" borderId="1" xfId="2" applyNumberFormat="1" applyFont="1" applyFill="1" applyBorder="1" applyAlignment="1" applyProtection="1">
      <alignment horizontal="left" vertical="top"/>
    </xf>
    <xf numFmtId="0" fontId="4" fillId="10" borderId="1" xfId="1" applyNumberFormat="1" applyFont="1" applyFill="1" applyBorder="1" applyAlignment="1">
      <alignment horizontal="left" vertical="top"/>
    </xf>
    <xf numFmtId="15" fontId="5" fillId="9" borderId="1" xfId="0" applyNumberFormat="1" applyFont="1" applyFill="1" applyBorder="1" applyAlignment="1">
      <alignment horizontal="left" vertical="top"/>
    </xf>
    <xf numFmtId="15" fontId="4" fillId="8" borderId="1" xfId="1" applyNumberFormat="1" applyFont="1" applyFill="1" applyBorder="1" applyAlignment="1">
      <alignment horizontal="left" vertical="top"/>
    </xf>
    <xf numFmtId="0" fontId="5" fillId="9" borderId="1" xfId="0" applyNumberFormat="1" applyFont="1" applyFill="1" applyBorder="1" applyAlignment="1">
      <alignment horizontal="left" vertical="top"/>
    </xf>
    <xf numFmtId="165" fontId="5" fillId="9" borderId="1" xfId="0" applyNumberFormat="1" applyFont="1" applyFill="1" applyBorder="1" applyAlignment="1">
      <alignment horizontal="left" vertical="top"/>
    </xf>
    <xf numFmtId="15" fontId="4" fillId="9" borderId="1" xfId="1" applyNumberFormat="1" applyFont="1" applyFill="1" applyBorder="1" applyAlignment="1">
      <alignment horizontal="left" vertical="top"/>
    </xf>
    <xf numFmtId="0" fontId="4" fillId="9" borderId="1" xfId="1" applyFont="1" applyFill="1" applyBorder="1" applyAlignment="1">
      <alignment horizontal="left" vertical="top"/>
    </xf>
    <xf numFmtId="0" fontId="4" fillId="9" borderId="1" xfId="1" applyNumberFormat="1" applyFont="1" applyFill="1" applyBorder="1" applyAlignment="1">
      <alignment horizontal="left" vertical="top"/>
    </xf>
    <xf numFmtId="165" fontId="4" fillId="8" borderId="1" xfId="1" applyNumberFormat="1" applyFont="1" applyFill="1" applyBorder="1" applyAlignment="1">
      <alignment horizontal="left" vertical="top"/>
    </xf>
    <xf numFmtId="15" fontId="4" fillId="8" borderId="1" xfId="1" applyNumberFormat="1" applyFont="1" applyFill="1" applyBorder="1" applyAlignment="1">
      <alignment horizontal="left" vertical="top" wrapText="1"/>
    </xf>
    <xf numFmtId="1" fontId="4" fillId="9" borderId="1" xfId="1" applyNumberFormat="1" applyFont="1" applyFill="1" applyBorder="1" applyAlignment="1">
      <alignment horizontal="left" vertical="top"/>
    </xf>
    <xf numFmtId="15" fontId="4" fillId="11" borderId="1" xfId="1" applyNumberFormat="1" applyFont="1" applyFill="1" applyBorder="1" applyAlignment="1">
      <alignment horizontal="left" vertical="top"/>
    </xf>
    <xf numFmtId="0" fontId="4" fillId="11" borderId="1" xfId="1" applyNumberFormat="1" applyFont="1" applyFill="1" applyBorder="1" applyAlignment="1">
      <alignment horizontal="left" vertical="top"/>
    </xf>
    <xf numFmtId="165" fontId="4" fillId="12" borderId="1" xfId="1" applyNumberFormat="1" applyFont="1" applyFill="1" applyBorder="1" applyAlignment="1">
      <alignment horizontal="left" vertical="top"/>
    </xf>
    <xf numFmtId="0" fontId="4" fillId="12" borderId="1" xfId="1" applyNumberFormat="1" applyFont="1" applyFill="1" applyBorder="1" applyAlignment="1">
      <alignment horizontal="left" vertical="top"/>
    </xf>
    <xf numFmtId="165" fontId="4" fillId="9" borderId="1" xfId="1" applyNumberFormat="1" applyFont="1" applyFill="1" applyBorder="1" applyAlignment="1">
      <alignment horizontal="left" vertical="top"/>
    </xf>
    <xf numFmtId="0" fontId="5" fillId="0" borderId="1" xfId="0" applyFont="1" applyFill="1" applyBorder="1" applyAlignment="1">
      <alignment horizontal="left" vertical="top"/>
    </xf>
    <xf numFmtId="0" fontId="7" fillId="0" borderId="1" xfId="0" applyFont="1" applyFill="1" applyBorder="1" applyAlignment="1" applyProtection="1">
      <alignment horizontal="left" vertical="top"/>
    </xf>
    <xf numFmtId="1" fontId="7" fillId="0" borderId="1" xfId="0" applyNumberFormat="1" applyFont="1" applyFill="1" applyBorder="1" applyAlignment="1" applyProtection="1">
      <alignment horizontal="left" vertical="top"/>
    </xf>
    <xf numFmtId="2" fontId="7" fillId="0" borderId="1" xfId="0" applyNumberFormat="1" applyFont="1" applyFill="1" applyBorder="1" applyAlignment="1" applyProtection="1">
      <alignment horizontal="left" vertical="top"/>
    </xf>
    <xf numFmtId="166" fontId="7" fillId="0" borderId="1" xfId="0" applyNumberFormat="1" applyFont="1" applyFill="1" applyBorder="1" applyAlignment="1" applyProtection="1">
      <alignment horizontal="left" vertical="top"/>
    </xf>
    <xf numFmtId="167" fontId="7" fillId="0" borderId="1" xfId="0" applyNumberFormat="1" applyFont="1" applyFill="1" applyBorder="1" applyAlignment="1" applyProtection="1">
      <alignment horizontal="left" vertical="top"/>
    </xf>
    <xf numFmtId="0" fontId="8" fillId="13" borderId="1" xfId="0" applyFont="1" applyFill="1" applyBorder="1" applyAlignment="1">
      <alignment horizontal="left" vertical="top"/>
    </xf>
    <xf numFmtId="0" fontId="8" fillId="9" borderId="1" xfId="0" applyFont="1" applyFill="1" applyBorder="1" applyAlignment="1">
      <alignment horizontal="left" vertical="top"/>
    </xf>
    <xf numFmtId="1" fontId="8" fillId="9" borderId="1" xfId="2" applyNumberFormat="1" applyFont="1" applyFill="1" applyBorder="1" applyAlignment="1" applyProtection="1">
      <alignment horizontal="left" vertical="top"/>
    </xf>
    <xf numFmtId="0" fontId="9" fillId="9" borderId="1" xfId="0" applyFont="1" applyFill="1" applyBorder="1" applyAlignment="1">
      <alignment horizontal="left" vertical="top"/>
    </xf>
    <xf numFmtId="2" fontId="8" fillId="9" borderId="1" xfId="2" applyNumberFormat="1" applyFont="1" applyFill="1" applyBorder="1" applyAlignment="1" applyProtection="1">
      <alignment horizontal="left" vertical="top"/>
    </xf>
    <xf numFmtId="0" fontId="10" fillId="9" borderId="1" xfId="0" applyFont="1" applyFill="1" applyBorder="1" applyAlignment="1">
      <alignment horizontal="left" vertical="top"/>
    </xf>
    <xf numFmtId="15" fontId="8" fillId="9" borderId="1" xfId="0" applyNumberFormat="1" applyFont="1" applyFill="1" applyBorder="1" applyAlignment="1">
      <alignment horizontal="left" vertical="top"/>
    </xf>
    <xf numFmtId="15" fontId="9" fillId="9" borderId="1" xfId="0" applyNumberFormat="1" applyFont="1" applyFill="1" applyBorder="1" applyAlignment="1">
      <alignment horizontal="left" vertical="top"/>
    </xf>
    <xf numFmtId="1" fontId="8" fillId="9" borderId="1" xfId="0" applyNumberFormat="1" applyFont="1" applyFill="1" applyBorder="1" applyAlignment="1">
      <alignment horizontal="left" vertical="top"/>
    </xf>
    <xf numFmtId="2" fontId="10" fillId="9" borderId="1" xfId="0" applyNumberFormat="1" applyFont="1" applyFill="1" applyBorder="1" applyAlignment="1">
      <alignment horizontal="left" vertical="top"/>
    </xf>
    <xf numFmtId="15" fontId="10" fillId="9" borderId="1" xfId="0" applyNumberFormat="1" applyFont="1" applyFill="1" applyBorder="1" applyAlignment="1">
      <alignment horizontal="left" vertical="top"/>
    </xf>
    <xf numFmtId="168" fontId="10" fillId="9" borderId="1" xfId="0" applyNumberFormat="1" applyFont="1" applyFill="1" applyBorder="1" applyAlignment="1">
      <alignment horizontal="left" vertical="top"/>
    </xf>
    <xf numFmtId="0" fontId="1" fillId="5" borderId="1" xfId="0" applyFont="1" applyFill="1" applyBorder="1" applyAlignment="1">
      <alignment wrapText="1"/>
    </xf>
    <xf numFmtId="0" fontId="0" fillId="3" borderId="1" xfId="0" applyFill="1" applyBorder="1" applyAlignment="1">
      <alignment wrapText="1"/>
    </xf>
    <xf numFmtId="0" fontId="0" fillId="3" borderId="1" xfId="0" applyFill="1" applyBorder="1" applyAlignment="1">
      <alignment horizontal="left" vertical="top" wrapText="1"/>
    </xf>
    <xf numFmtId="0" fontId="0" fillId="2" borderId="1" xfId="0" applyFill="1" applyBorder="1" applyAlignment="1">
      <alignment horizontal="left" vertical="top" wrapText="1"/>
    </xf>
    <xf numFmtId="0" fontId="0" fillId="7" borderId="1" xfId="0" applyFill="1" applyBorder="1" applyAlignment="1">
      <alignment horizontal="left" vertical="top" wrapText="1"/>
    </xf>
    <xf numFmtId="0" fontId="0" fillId="7" borderId="1" xfId="0" applyFill="1" applyBorder="1" applyAlignment="1">
      <alignment wrapText="1"/>
    </xf>
    <xf numFmtId="0" fontId="0" fillId="0" borderId="1" xfId="0" applyFill="1" applyBorder="1" applyAlignment="1">
      <alignment horizontal="left" vertical="top" wrapText="1"/>
    </xf>
    <xf numFmtId="0" fontId="0" fillId="14" borderId="1" xfId="0" applyFill="1" applyBorder="1" applyAlignment="1">
      <alignment wrapText="1"/>
    </xf>
    <xf numFmtId="0" fontId="11" fillId="3" borderId="1" xfId="0" applyFont="1" applyFill="1" applyBorder="1" applyAlignment="1">
      <alignment horizontal="left" vertical="top" wrapText="1"/>
    </xf>
  </cellXfs>
  <cellStyles count="3">
    <cellStyle name="Comma 2" xfId="2"/>
    <cellStyle name="ed" xfId="1"/>
    <cellStyle name="Normal" xfId="0" builtinId="0"/>
  </cellStyles>
  <dxfs count="18">
    <dxf>
      <fill>
        <patternFill patternType="solid">
          <fgColor rgb="FF92D050"/>
          <bgColor rgb="FF000000"/>
        </patternFill>
      </fill>
    </dxf>
    <dxf>
      <fill>
        <patternFill patternType="solid">
          <fgColor rgb="FFFFC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selection activeCell="B9" sqref="B9"/>
    </sheetView>
  </sheetViews>
  <sheetFormatPr defaultRowHeight="14.5" x14ac:dyDescent="0.35"/>
  <cols>
    <col min="1" max="1" width="28.08984375" customWidth="1"/>
    <col min="2" max="2" width="25.08984375" customWidth="1"/>
    <col min="3" max="3" width="35.453125" customWidth="1"/>
  </cols>
  <sheetData>
    <row r="1" spans="1:3" x14ac:dyDescent="0.35">
      <c r="A1" s="4" t="s">
        <v>78</v>
      </c>
      <c r="B1" s="4" t="s">
        <v>41</v>
      </c>
      <c r="C1" s="4" t="s">
        <v>47</v>
      </c>
    </row>
    <row r="2" spans="1:3" x14ac:dyDescent="0.35">
      <c r="A2" s="5" t="s">
        <v>1</v>
      </c>
      <c r="B2" s="3" t="s">
        <v>42</v>
      </c>
      <c r="C2" s="3" t="s">
        <v>48</v>
      </c>
    </row>
    <row r="3" spans="1:3" x14ac:dyDescent="0.35">
      <c r="A3" s="5" t="s">
        <v>2</v>
      </c>
      <c r="B3" s="3" t="s">
        <v>43</v>
      </c>
      <c r="C3" s="3" t="s">
        <v>49</v>
      </c>
    </row>
    <row r="4" spans="1:3" x14ac:dyDescent="0.35">
      <c r="A4" s="2" t="s">
        <v>3</v>
      </c>
      <c r="B4" s="3" t="s">
        <v>43</v>
      </c>
      <c r="C4" s="3"/>
    </row>
    <row r="5" spans="1:3" x14ac:dyDescent="0.35">
      <c r="A5" s="2" t="s">
        <v>4</v>
      </c>
      <c r="B5" s="3" t="s">
        <v>44</v>
      </c>
      <c r="C5" s="3"/>
    </row>
    <row r="6" spans="1:3" x14ac:dyDescent="0.35">
      <c r="A6" s="2" t="s">
        <v>5</v>
      </c>
      <c r="B6" s="3" t="s">
        <v>44</v>
      </c>
      <c r="C6" s="3" t="s">
        <v>50</v>
      </c>
    </row>
    <row r="7" spans="1:3" x14ac:dyDescent="0.35">
      <c r="A7" s="2" t="s">
        <v>6</v>
      </c>
      <c r="B7" s="3" t="s">
        <v>45</v>
      </c>
      <c r="C7" s="3" t="s">
        <v>51</v>
      </c>
    </row>
    <row r="8" spans="1:3" x14ac:dyDescent="0.35">
      <c r="A8" s="2" t="s">
        <v>7</v>
      </c>
      <c r="B8" s="3" t="s">
        <v>42</v>
      </c>
      <c r="C8" s="3" t="s">
        <v>52</v>
      </c>
    </row>
    <row r="9" spans="1:3" x14ac:dyDescent="0.35">
      <c r="A9" s="2" t="s">
        <v>8</v>
      </c>
      <c r="B9" s="3" t="s">
        <v>42</v>
      </c>
      <c r="C9" s="3" t="s">
        <v>53</v>
      </c>
    </row>
    <row r="10" spans="1:3" x14ac:dyDescent="0.35">
      <c r="A10" s="2" t="s">
        <v>9</v>
      </c>
      <c r="B10" s="3" t="s">
        <v>43</v>
      </c>
      <c r="C10" s="3" t="s">
        <v>54</v>
      </c>
    </row>
    <row r="11" spans="1:3" x14ac:dyDescent="0.35">
      <c r="A11" s="2" t="s">
        <v>10</v>
      </c>
      <c r="B11" s="3" t="s">
        <v>42</v>
      </c>
      <c r="C11" s="3" t="s">
        <v>55</v>
      </c>
    </row>
    <row r="12" spans="1:3" x14ac:dyDescent="0.35">
      <c r="A12" s="2" t="s">
        <v>11</v>
      </c>
      <c r="B12" s="3" t="s">
        <v>42</v>
      </c>
      <c r="C12" s="3"/>
    </row>
    <row r="13" spans="1:3" x14ac:dyDescent="0.35">
      <c r="A13" s="2" t="s">
        <v>12</v>
      </c>
      <c r="B13" s="3" t="s">
        <v>42</v>
      </c>
      <c r="C13" s="3" t="s">
        <v>56</v>
      </c>
    </row>
    <row r="14" spans="1:3" x14ac:dyDescent="0.35">
      <c r="A14" s="2" t="s">
        <v>13</v>
      </c>
      <c r="B14" s="3" t="s">
        <v>42</v>
      </c>
      <c r="C14" s="3" t="s">
        <v>57</v>
      </c>
    </row>
    <row r="15" spans="1:3" x14ac:dyDescent="0.35">
      <c r="A15" s="2" t="s">
        <v>14</v>
      </c>
      <c r="B15" s="3" t="s">
        <v>42</v>
      </c>
      <c r="C15" s="3" t="s">
        <v>58</v>
      </c>
    </row>
    <row r="16" spans="1:3" x14ac:dyDescent="0.35">
      <c r="A16" s="2" t="s">
        <v>15</v>
      </c>
      <c r="B16" s="3" t="s">
        <v>43</v>
      </c>
      <c r="C16" s="3"/>
    </row>
    <row r="17" spans="1:3" x14ac:dyDescent="0.35">
      <c r="A17" s="2" t="s">
        <v>16</v>
      </c>
      <c r="B17" s="3" t="s">
        <v>46</v>
      </c>
      <c r="C17" s="3"/>
    </row>
    <row r="18" spans="1:3" x14ac:dyDescent="0.35">
      <c r="A18" s="2" t="s">
        <v>17</v>
      </c>
      <c r="B18" s="3" t="s">
        <v>43</v>
      </c>
      <c r="C18" s="3" t="s">
        <v>59</v>
      </c>
    </row>
    <row r="19" spans="1:3" x14ac:dyDescent="0.35">
      <c r="A19" s="2" t="s">
        <v>18</v>
      </c>
      <c r="B19" s="3" t="s">
        <v>43</v>
      </c>
      <c r="C19" s="3" t="s">
        <v>60</v>
      </c>
    </row>
    <row r="20" spans="1:3" x14ac:dyDescent="0.35">
      <c r="A20" s="2" t="s">
        <v>19</v>
      </c>
      <c r="B20" s="3" t="s">
        <v>42</v>
      </c>
      <c r="C20" s="3"/>
    </row>
    <row r="21" spans="1:3" x14ac:dyDescent="0.35">
      <c r="A21" s="2" t="s">
        <v>20</v>
      </c>
      <c r="B21" s="3" t="s">
        <v>42</v>
      </c>
      <c r="C21" s="3" t="s">
        <v>61</v>
      </c>
    </row>
    <row r="22" spans="1:3" x14ac:dyDescent="0.35">
      <c r="A22" s="2" t="s">
        <v>21</v>
      </c>
      <c r="B22" s="3" t="s">
        <v>43</v>
      </c>
      <c r="C22" s="3" t="s">
        <v>62</v>
      </c>
    </row>
    <row r="23" spans="1:3" x14ac:dyDescent="0.35">
      <c r="A23" s="2" t="s">
        <v>22</v>
      </c>
      <c r="B23" s="3" t="s">
        <v>42</v>
      </c>
      <c r="C23" s="3" t="s">
        <v>63</v>
      </c>
    </row>
    <row r="24" spans="1:3" x14ac:dyDescent="0.35">
      <c r="A24" s="2" t="s">
        <v>23</v>
      </c>
      <c r="B24" s="3" t="s">
        <v>42</v>
      </c>
      <c r="C24" s="3" t="s">
        <v>64</v>
      </c>
    </row>
    <row r="25" spans="1:3" x14ac:dyDescent="0.35">
      <c r="A25" s="2" t="s">
        <v>24</v>
      </c>
      <c r="B25" s="3" t="s">
        <v>44</v>
      </c>
      <c r="C25" s="3" t="s">
        <v>65</v>
      </c>
    </row>
    <row r="26" spans="1:3" x14ac:dyDescent="0.35">
      <c r="A26" s="2" t="s">
        <v>25</v>
      </c>
      <c r="B26" s="3" t="s">
        <v>44</v>
      </c>
      <c r="C26" s="3"/>
    </row>
    <row r="27" spans="1:3" x14ac:dyDescent="0.35">
      <c r="A27" s="2" t="s">
        <v>26</v>
      </c>
      <c r="B27" s="3" t="s">
        <v>43</v>
      </c>
      <c r="C27" s="3"/>
    </row>
    <row r="28" spans="1:3" x14ac:dyDescent="0.35">
      <c r="A28" s="2" t="s">
        <v>27</v>
      </c>
      <c r="B28" s="3" t="s">
        <v>43</v>
      </c>
      <c r="C28" s="3" t="s">
        <v>66</v>
      </c>
    </row>
    <row r="29" spans="1:3" x14ac:dyDescent="0.35">
      <c r="A29" s="2" t="s">
        <v>28</v>
      </c>
      <c r="B29" s="3" t="s">
        <v>43</v>
      </c>
      <c r="C29" s="3" t="s">
        <v>67</v>
      </c>
    </row>
    <row r="30" spans="1:3" x14ac:dyDescent="0.35">
      <c r="A30" s="2" t="s">
        <v>29</v>
      </c>
      <c r="B30" s="3" t="s">
        <v>43</v>
      </c>
      <c r="C30" s="3" t="s">
        <v>68</v>
      </c>
    </row>
    <row r="31" spans="1:3" x14ac:dyDescent="0.35">
      <c r="A31" s="2" t="s">
        <v>30</v>
      </c>
      <c r="B31" s="3" t="s">
        <v>44</v>
      </c>
      <c r="C31" s="3" t="s">
        <v>69</v>
      </c>
    </row>
    <row r="32" spans="1:3" x14ac:dyDescent="0.35">
      <c r="A32" s="2" t="s">
        <v>31</v>
      </c>
      <c r="B32" s="3" t="s">
        <v>43</v>
      </c>
      <c r="C32" s="3" t="s">
        <v>70</v>
      </c>
    </row>
    <row r="33" spans="1:3" x14ac:dyDescent="0.35">
      <c r="A33" s="2" t="s">
        <v>32</v>
      </c>
      <c r="B33" s="3" t="s">
        <v>42</v>
      </c>
      <c r="C33" s="3"/>
    </row>
    <row r="34" spans="1:3" x14ac:dyDescent="0.35">
      <c r="A34" s="2" t="s">
        <v>33</v>
      </c>
      <c r="B34" s="3" t="s">
        <v>42</v>
      </c>
      <c r="C34" s="3" t="s">
        <v>71</v>
      </c>
    </row>
    <row r="35" spans="1:3" x14ac:dyDescent="0.35">
      <c r="A35" s="2" t="s">
        <v>34</v>
      </c>
      <c r="B35" s="3" t="s">
        <v>42</v>
      </c>
      <c r="C35" s="3" t="s">
        <v>72</v>
      </c>
    </row>
    <row r="36" spans="1:3" x14ac:dyDescent="0.35">
      <c r="A36" s="2" t="s">
        <v>35</v>
      </c>
      <c r="B36" s="3" t="s">
        <v>43</v>
      </c>
      <c r="C36" s="3" t="s">
        <v>73</v>
      </c>
    </row>
    <row r="37" spans="1:3" x14ac:dyDescent="0.35">
      <c r="A37" s="2" t="s">
        <v>36</v>
      </c>
      <c r="B37" s="3" t="s">
        <v>44</v>
      </c>
      <c r="C37" s="3" t="s">
        <v>74</v>
      </c>
    </row>
    <row r="38" spans="1:3" x14ac:dyDescent="0.35">
      <c r="A38" s="2" t="s">
        <v>37</v>
      </c>
      <c r="B38" s="3" t="s">
        <v>43</v>
      </c>
      <c r="C38" s="3"/>
    </row>
    <row r="39" spans="1:3" x14ac:dyDescent="0.35">
      <c r="A39" s="2" t="s">
        <v>38</v>
      </c>
      <c r="B39" s="3" t="s">
        <v>44</v>
      </c>
      <c r="C39" s="3" t="s">
        <v>75</v>
      </c>
    </row>
    <row r="40" spans="1:3" x14ac:dyDescent="0.35">
      <c r="A40" s="2" t="s">
        <v>39</v>
      </c>
      <c r="B40" s="3" t="s">
        <v>43</v>
      </c>
      <c r="C40" s="3" t="s">
        <v>76</v>
      </c>
    </row>
    <row r="41" spans="1:3" x14ac:dyDescent="0.35">
      <c r="A41" s="2" t="s">
        <v>40</v>
      </c>
      <c r="B41" s="3" t="s">
        <v>46</v>
      </c>
      <c r="C41" s="3" t="s">
        <v>77</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C11" sqref="C11"/>
    </sheetView>
  </sheetViews>
  <sheetFormatPr defaultRowHeight="14.5" x14ac:dyDescent="0.35"/>
  <cols>
    <col min="1" max="1" width="29.1796875" customWidth="1"/>
    <col min="2" max="2" width="24.36328125" customWidth="1"/>
  </cols>
  <sheetData>
    <row r="1" spans="1:2" x14ac:dyDescent="0.35">
      <c r="A1" s="6" t="s">
        <v>78</v>
      </c>
      <c r="B1" s="6" t="s">
        <v>79</v>
      </c>
    </row>
    <row r="2" spans="1:2" x14ac:dyDescent="0.35">
      <c r="A2" s="3" t="s">
        <v>80</v>
      </c>
      <c r="B2" s="3" t="s">
        <v>81</v>
      </c>
    </row>
    <row r="3" spans="1:2" x14ac:dyDescent="0.35">
      <c r="A3" s="3" t="s">
        <v>82</v>
      </c>
      <c r="B3" s="3" t="s">
        <v>44</v>
      </c>
    </row>
    <row r="4" spans="1:2" x14ac:dyDescent="0.35">
      <c r="A4" s="3" t="s">
        <v>83</v>
      </c>
      <c r="B4" s="3" t="s">
        <v>81</v>
      </c>
    </row>
    <row r="5" spans="1:2" x14ac:dyDescent="0.35">
      <c r="A5" s="3" t="s">
        <v>84</v>
      </c>
      <c r="B5" s="3" t="s">
        <v>81</v>
      </c>
    </row>
    <row r="6" spans="1:2" x14ac:dyDescent="0.35">
      <c r="A6" s="3" t="s">
        <v>85</v>
      </c>
      <c r="B6" s="3" t="s">
        <v>81</v>
      </c>
    </row>
    <row r="7" spans="1:2" x14ac:dyDescent="0.35">
      <c r="A7" s="3" t="s">
        <v>86</v>
      </c>
      <c r="B7" s="3" t="s">
        <v>81</v>
      </c>
    </row>
    <row r="8" spans="1:2" x14ac:dyDescent="0.35">
      <c r="A8" s="3" t="s">
        <v>87</v>
      </c>
      <c r="B8" s="3" t="s">
        <v>81</v>
      </c>
    </row>
    <row r="9" spans="1:2" x14ac:dyDescent="0.35">
      <c r="A9" s="3" t="s">
        <v>88</v>
      </c>
      <c r="B9" s="3" t="s">
        <v>81</v>
      </c>
    </row>
    <row r="10" spans="1:2" x14ac:dyDescent="0.35">
      <c r="A10" s="3" t="s">
        <v>89</v>
      </c>
      <c r="B10" s="3" t="s">
        <v>81</v>
      </c>
    </row>
    <row r="11" spans="1:2" x14ac:dyDescent="0.35">
      <c r="A11" s="3" t="s">
        <v>90</v>
      </c>
      <c r="B11" s="3" t="s">
        <v>81</v>
      </c>
    </row>
    <row r="12" spans="1:2" x14ac:dyDescent="0.35">
      <c r="A12" s="3" t="s">
        <v>91</v>
      </c>
      <c r="B12" s="3" t="s">
        <v>81</v>
      </c>
    </row>
    <row r="13" spans="1:2" x14ac:dyDescent="0.35">
      <c r="A13" s="3" t="s">
        <v>92</v>
      </c>
      <c r="B13" s="3" t="s">
        <v>81</v>
      </c>
    </row>
    <row r="14" spans="1:2" x14ac:dyDescent="0.35">
      <c r="A14" s="3" t="s">
        <v>93</v>
      </c>
      <c r="B14" s="3" t="s">
        <v>81</v>
      </c>
    </row>
    <row r="15" spans="1:2" x14ac:dyDescent="0.35">
      <c r="A15" s="3" t="s">
        <v>94</v>
      </c>
      <c r="B15" s="3" t="s">
        <v>81</v>
      </c>
    </row>
    <row r="16" spans="1:2" x14ac:dyDescent="0.35">
      <c r="A16" s="3" t="s">
        <v>95</v>
      </c>
      <c r="B16" s="3" t="s">
        <v>46</v>
      </c>
    </row>
    <row r="17" spans="1:2" x14ac:dyDescent="0.35">
      <c r="A17" s="3" t="s">
        <v>96</v>
      </c>
      <c r="B17" s="3" t="s">
        <v>81</v>
      </c>
    </row>
    <row r="18" spans="1:2" x14ac:dyDescent="0.35">
      <c r="A18" s="3" t="s">
        <v>97</v>
      </c>
      <c r="B18" s="3" t="s">
        <v>81</v>
      </c>
    </row>
    <row r="19" spans="1:2" x14ac:dyDescent="0.35">
      <c r="A19" s="3" t="s">
        <v>98</v>
      </c>
      <c r="B19" s="3" t="s">
        <v>81</v>
      </c>
    </row>
    <row r="20" spans="1:2" x14ac:dyDescent="0.35">
      <c r="A20" s="3" t="s">
        <v>99</v>
      </c>
      <c r="B20" s="3" t="s">
        <v>81</v>
      </c>
    </row>
    <row r="21" spans="1:2" x14ac:dyDescent="0.35">
      <c r="A21" s="3" t="s">
        <v>100</v>
      </c>
      <c r="B21" s="3" t="s">
        <v>81</v>
      </c>
    </row>
    <row r="22" spans="1:2" x14ac:dyDescent="0.35">
      <c r="A22" s="3" t="s">
        <v>101</v>
      </c>
      <c r="B22" s="3" t="s">
        <v>81</v>
      </c>
    </row>
    <row r="23" spans="1:2" x14ac:dyDescent="0.35">
      <c r="A23" s="3" t="s">
        <v>102</v>
      </c>
      <c r="B23" s="3" t="s">
        <v>81</v>
      </c>
    </row>
    <row r="24" spans="1:2" x14ac:dyDescent="0.35">
      <c r="A24" s="3" t="s">
        <v>103</v>
      </c>
      <c r="B24" s="2" t="s">
        <v>46</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B9" sqref="B9"/>
    </sheetView>
  </sheetViews>
  <sheetFormatPr defaultRowHeight="14.5" x14ac:dyDescent="0.35"/>
  <cols>
    <col min="1" max="1" width="31.81640625" bestFit="1" customWidth="1"/>
    <col min="2" max="2" width="19.90625" bestFit="1" customWidth="1"/>
    <col min="3" max="3" width="20.6328125" bestFit="1" customWidth="1"/>
    <col min="4" max="4" width="52.36328125" bestFit="1" customWidth="1"/>
  </cols>
  <sheetData>
    <row r="1" spans="1:4" x14ac:dyDescent="0.35">
      <c r="A1" s="10" t="s">
        <v>78</v>
      </c>
      <c r="B1" s="10" t="s">
        <v>41</v>
      </c>
      <c r="C1" s="12" t="s">
        <v>126</v>
      </c>
    </row>
    <row r="2" spans="1:4" x14ac:dyDescent="0.35">
      <c r="A2" s="3" t="s">
        <v>104</v>
      </c>
      <c r="B2" s="3" t="s">
        <v>42</v>
      </c>
      <c r="C2" s="13">
        <v>121201000000000</v>
      </c>
      <c r="D2" s="7"/>
    </row>
    <row r="3" spans="1:4" x14ac:dyDescent="0.35">
      <c r="A3" s="2" t="s">
        <v>105</v>
      </c>
      <c r="B3" s="3" t="s">
        <v>42</v>
      </c>
      <c r="C3" s="3" t="s">
        <v>106</v>
      </c>
    </row>
    <row r="4" spans="1:4" x14ac:dyDescent="0.35">
      <c r="A4" s="2" t="s">
        <v>107</v>
      </c>
      <c r="B4" s="3" t="s">
        <v>42</v>
      </c>
      <c r="C4" s="3">
        <v>102796</v>
      </c>
    </row>
    <row r="5" spans="1:4" x14ac:dyDescent="0.35">
      <c r="A5" s="2" t="s">
        <v>108</v>
      </c>
      <c r="B5" s="3" t="s">
        <v>42</v>
      </c>
      <c r="C5" s="3" t="s">
        <v>109</v>
      </c>
    </row>
    <row r="6" spans="1:4" x14ac:dyDescent="0.35">
      <c r="A6" s="2" t="s">
        <v>110</v>
      </c>
      <c r="B6" s="3" t="s">
        <v>42</v>
      </c>
      <c r="C6" s="3" t="s">
        <v>111</v>
      </c>
    </row>
    <row r="7" spans="1:4" x14ac:dyDescent="0.35">
      <c r="A7" s="2" t="s">
        <v>112</v>
      </c>
      <c r="B7" s="3" t="s">
        <v>43</v>
      </c>
      <c r="C7" s="3">
        <v>6662</v>
      </c>
    </row>
    <row r="8" spans="1:4" x14ac:dyDescent="0.35">
      <c r="A8" s="2" t="s">
        <v>113</v>
      </c>
      <c r="B8" s="3" t="s">
        <v>43</v>
      </c>
      <c r="C8" s="3">
        <v>0</v>
      </c>
    </row>
    <row r="9" spans="1:4" x14ac:dyDescent="0.35">
      <c r="A9" s="2" t="s">
        <v>114</v>
      </c>
      <c r="B9" s="3" t="s">
        <v>45</v>
      </c>
      <c r="C9" s="14">
        <v>42415</v>
      </c>
      <c r="D9" s="8"/>
    </row>
    <row r="10" spans="1:4" x14ac:dyDescent="0.35">
      <c r="A10" s="2" t="s">
        <v>115</v>
      </c>
      <c r="B10" s="3" t="s">
        <v>45</v>
      </c>
      <c r="C10" s="14">
        <v>42415</v>
      </c>
      <c r="D10" s="8"/>
    </row>
    <row r="11" spans="1:4" x14ac:dyDescent="0.35">
      <c r="A11" s="2" t="s">
        <v>116</v>
      </c>
      <c r="B11" s="3" t="s">
        <v>42</v>
      </c>
      <c r="C11" s="3" t="s">
        <v>117</v>
      </c>
    </row>
    <row r="12" spans="1:4" x14ac:dyDescent="0.35">
      <c r="A12" s="2" t="s">
        <v>118</v>
      </c>
      <c r="B12" s="3" t="s">
        <v>42</v>
      </c>
      <c r="C12" s="3" t="s">
        <v>119</v>
      </c>
    </row>
    <row r="13" spans="1:4" x14ac:dyDescent="0.35">
      <c r="A13" s="2" t="s">
        <v>120</v>
      </c>
      <c r="B13" s="3" t="s">
        <v>42</v>
      </c>
      <c r="C13" s="3" t="s">
        <v>117</v>
      </c>
    </row>
    <row r="14" spans="1:4" x14ac:dyDescent="0.35">
      <c r="A14" s="2" t="s">
        <v>125</v>
      </c>
      <c r="B14" s="3" t="s">
        <v>42</v>
      </c>
      <c r="C14" s="14">
        <v>42401</v>
      </c>
      <c r="D14" s="8"/>
    </row>
    <row r="15" spans="1:4" x14ac:dyDescent="0.35">
      <c r="A15" s="2" t="s">
        <v>121</v>
      </c>
      <c r="B15" s="3" t="s">
        <v>124</v>
      </c>
      <c r="C15" s="3">
        <v>1</v>
      </c>
    </row>
    <row r="16" spans="1:4" x14ac:dyDescent="0.35">
      <c r="A16" s="2" t="s">
        <v>122</v>
      </c>
      <c r="B16" s="3" t="s">
        <v>124</v>
      </c>
      <c r="C16" s="3">
        <v>1</v>
      </c>
    </row>
    <row r="17" spans="1:3" x14ac:dyDescent="0.35">
      <c r="A17" s="2" t="s">
        <v>123</v>
      </c>
      <c r="B17" s="3" t="s">
        <v>124</v>
      </c>
      <c r="C17" s="3">
        <v>1</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
  <sheetViews>
    <sheetView topLeftCell="A10" workbookViewId="0">
      <selection activeCell="B6" sqref="B6"/>
    </sheetView>
  </sheetViews>
  <sheetFormatPr defaultRowHeight="14.5" x14ac:dyDescent="0.35"/>
  <cols>
    <col min="1" max="1" width="30.453125" customWidth="1"/>
    <col min="2" max="2" width="29.1796875" customWidth="1"/>
  </cols>
  <sheetData>
    <row r="1" spans="1:2" x14ac:dyDescent="0.35">
      <c r="A1" s="11" t="s">
        <v>78</v>
      </c>
      <c r="B1" t="s">
        <v>41</v>
      </c>
    </row>
    <row r="2" spans="1:2" x14ac:dyDescent="0.35">
      <c r="A2" t="s">
        <v>127</v>
      </c>
      <c r="B2" t="s">
        <v>42</v>
      </c>
    </row>
    <row r="3" spans="1:2" x14ac:dyDescent="0.35">
      <c r="A3" t="s">
        <v>128</v>
      </c>
      <c r="B3" t="s">
        <v>42</v>
      </c>
    </row>
    <row r="4" spans="1:2" x14ac:dyDescent="0.35">
      <c r="A4" t="s">
        <v>129</v>
      </c>
      <c r="B4" t="s">
        <v>42</v>
      </c>
    </row>
    <row r="5" spans="1:2" x14ac:dyDescent="0.35">
      <c r="A5" t="s">
        <v>130</v>
      </c>
      <c r="B5" t="s">
        <v>42</v>
      </c>
    </row>
    <row r="6" spans="1:2" x14ac:dyDescent="0.35">
      <c r="A6" t="s">
        <v>131</v>
      </c>
      <c r="B6" t="s">
        <v>42</v>
      </c>
    </row>
    <row r="7" spans="1:2" x14ac:dyDescent="0.35">
      <c r="A7" t="s">
        <v>132</v>
      </c>
      <c r="B7" t="s">
        <v>42</v>
      </c>
    </row>
    <row r="8" spans="1:2" x14ac:dyDescent="0.35">
      <c r="A8" t="s">
        <v>133</v>
      </c>
      <c r="B8" t="s">
        <v>42</v>
      </c>
    </row>
    <row r="9" spans="1:2" x14ac:dyDescent="0.35">
      <c r="A9" t="s">
        <v>134</v>
      </c>
      <c r="B9" t="s">
        <v>42</v>
      </c>
    </row>
    <row r="10" spans="1:2" x14ac:dyDescent="0.35">
      <c r="A10" t="s">
        <v>135</v>
      </c>
      <c r="B10" t="s">
        <v>42</v>
      </c>
    </row>
    <row r="11" spans="1:2" x14ac:dyDescent="0.35">
      <c r="A11" t="s">
        <v>136</v>
      </c>
      <c r="B11" t="s">
        <v>42</v>
      </c>
    </row>
    <row r="12" spans="1:2" x14ac:dyDescent="0.35">
      <c r="A12" t="s">
        <v>137</v>
      </c>
      <c r="B12" t="s">
        <v>42</v>
      </c>
    </row>
    <row r="13" spans="1:2" x14ac:dyDescent="0.35">
      <c r="A13" t="s">
        <v>138</v>
      </c>
      <c r="B13" t="s">
        <v>42</v>
      </c>
    </row>
    <row r="14" spans="1:2" x14ac:dyDescent="0.35">
      <c r="A14" t="s">
        <v>139</v>
      </c>
      <c r="B14" t="s">
        <v>42</v>
      </c>
    </row>
    <row r="15" spans="1:2" x14ac:dyDescent="0.35">
      <c r="A15" t="s">
        <v>140</v>
      </c>
      <c r="B15" t="s">
        <v>42</v>
      </c>
    </row>
    <row r="16" spans="1:2" x14ac:dyDescent="0.35">
      <c r="A16" t="s">
        <v>141</v>
      </c>
      <c r="B16" t="s">
        <v>42</v>
      </c>
    </row>
    <row r="17" spans="1:2" x14ac:dyDescent="0.35">
      <c r="A17" t="s">
        <v>142</v>
      </c>
      <c r="B17" t="s">
        <v>42</v>
      </c>
    </row>
    <row r="18" spans="1:2" x14ac:dyDescent="0.35">
      <c r="A18" t="s">
        <v>143</v>
      </c>
      <c r="B18" t="s">
        <v>42</v>
      </c>
    </row>
    <row r="19" spans="1:2" x14ac:dyDescent="0.35">
      <c r="A19" t="s">
        <v>144</v>
      </c>
      <c r="B19" t="s">
        <v>42</v>
      </c>
    </row>
    <row r="20" spans="1:2" x14ac:dyDescent="0.35">
      <c r="A20" t="s">
        <v>145</v>
      </c>
      <c r="B20" t="s">
        <v>42</v>
      </c>
    </row>
    <row r="21" spans="1:2" x14ac:dyDescent="0.35">
      <c r="A21" t="s">
        <v>146</v>
      </c>
      <c r="B21" t="s">
        <v>42</v>
      </c>
    </row>
    <row r="22" spans="1:2" x14ac:dyDescent="0.35">
      <c r="A22" t="s">
        <v>147</v>
      </c>
      <c r="B22" t="s">
        <v>42</v>
      </c>
    </row>
    <row r="23" spans="1:2" x14ac:dyDescent="0.35">
      <c r="A23" t="s">
        <v>148</v>
      </c>
      <c r="B23" t="s">
        <v>42</v>
      </c>
    </row>
    <row r="24" spans="1:2" x14ac:dyDescent="0.35">
      <c r="A24" t="s">
        <v>149</v>
      </c>
      <c r="B24" t="s">
        <v>42</v>
      </c>
    </row>
    <row r="25" spans="1:2" x14ac:dyDescent="0.35">
      <c r="A25" t="s">
        <v>150</v>
      </c>
      <c r="B25" t="s">
        <v>42</v>
      </c>
    </row>
    <row r="26" spans="1:2" x14ac:dyDescent="0.35">
      <c r="A26" t="s">
        <v>151</v>
      </c>
      <c r="B26" t="s">
        <v>42</v>
      </c>
    </row>
    <row r="27" spans="1:2" x14ac:dyDescent="0.35">
      <c r="A27" t="s">
        <v>152</v>
      </c>
      <c r="B27" t="s">
        <v>42</v>
      </c>
    </row>
    <row r="28" spans="1:2" x14ac:dyDescent="0.35">
      <c r="A28" t="s">
        <v>153</v>
      </c>
      <c r="B28" t="s">
        <v>42</v>
      </c>
    </row>
    <row r="29" spans="1:2" x14ac:dyDescent="0.35">
      <c r="A29" t="s">
        <v>154</v>
      </c>
      <c r="B29" t="s">
        <v>42</v>
      </c>
    </row>
    <row r="30" spans="1:2" x14ac:dyDescent="0.35">
      <c r="A30" t="s">
        <v>155</v>
      </c>
      <c r="B30" t="s">
        <v>42</v>
      </c>
    </row>
    <row r="31" spans="1:2" x14ac:dyDescent="0.35">
      <c r="A31" t="s">
        <v>156</v>
      </c>
      <c r="B31" t="s">
        <v>42</v>
      </c>
    </row>
    <row r="32" spans="1:2" x14ac:dyDescent="0.35">
      <c r="A32" t="s">
        <v>157</v>
      </c>
      <c r="B32" t="s">
        <v>42</v>
      </c>
    </row>
    <row r="33" spans="1:2" x14ac:dyDescent="0.35">
      <c r="A33" t="s">
        <v>158</v>
      </c>
      <c r="B33" t="s">
        <v>42</v>
      </c>
    </row>
    <row r="34" spans="1:2" x14ac:dyDescent="0.35">
      <c r="A34" t="s">
        <v>159</v>
      </c>
      <c r="B34" t="s">
        <v>42</v>
      </c>
    </row>
    <row r="35" spans="1:2" x14ac:dyDescent="0.35">
      <c r="A35" t="s">
        <v>160</v>
      </c>
      <c r="B35" t="s">
        <v>42</v>
      </c>
    </row>
    <row r="36" spans="1:2" x14ac:dyDescent="0.35">
      <c r="A36" t="s">
        <v>161</v>
      </c>
      <c r="B36" t="s">
        <v>42</v>
      </c>
    </row>
    <row r="37" spans="1:2" x14ac:dyDescent="0.35">
      <c r="A37" t="s">
        <v>162</v>
      </c>
      <c r="B37" t="s">
        <v>42</v>
      </c>
    </row>
    <row r="38" spans="1:2" x14ac:dyDescent="0.35">
      <c r="A38" t="s">
        <v>163</v>
      </c>
      <c r="B38" t="s">
        <v>42</v>
      </c>
    </row>
    <row r="39" spans="1:2" x14ac:dyDescent="0.35">
      <c r="A39" t="s">
        <v>164</v>
      </c>
      <c r="B39" t="s">
        <v>42</v>
      </c>
    </row>
    <row r="40" spans="1:2" x14ac:dyDescent="0.35">
      <c r="A40" t="s">
        <v>165</v>
      </c>
      <c r="B40" t="s">
        <v>42</v>
      </c>
    </row>
    <row r="41" spans="1:2" x14ac:dyDescent="0.35">
      <c r="A41" t="s">
        <v>166</v>
      </c>
      <c r="B41" t="s">
        <v>42</v>
      </c>
    </row>
    <row r="42" spans="1:2" x14ac:dyDescent="0.35">
      <c r="A42" t="s">
        <v>167</v>
      </c>
      <c r="B42" t="s">
        <v>42</v>
      </c>
    </row>
    <row r="43" spans="1:2" x14ac:dyDescent="0.35">
      <c r="A43" t="s">
        <v>168</v>
      </c>
      <c r="B43" t="s">
        <v>42</v>
      </c>
    </row>
    <row r="44" spans="1:2" x14ac:dyDescent="0.35">
      <c r="A44" t="s">
        <v>169</v>
      </c>
      <c r="B44" t="s">
        <v>42</v>
      </c>
    </row>
    <row r="45" spans="1:2" x14ac:dyDescent="0.35">
      <c r="A45" t="s">
        <v>170</v>
      </c>
      <c r="B45" t="s">
        <v>42</v>
      </c>
    </row>
    <row r="46" spans="1:2" x14ac:dyDescent="0.35">
      <c r="A46" t="s">
        <v>171</v>
      </c>
      <c r="B46" t="s">
        <v>42</v>
      </c>
    </row>
    <row r="47" spans="1:2" x14ac:dyDescent="0.35">
      <c r="A47" t="s">
        <v>172</v>
      </c>
      <c r="B47" t="s">
        <v>42</v>
      </c>
    </row>
    <row r="48" spans="1:2" x14ac:dyDescent="0.35">
      <c r="A48" t="s">
        <v>173</v>
      </c>
      <c r="B48" t="s">
        <v>42</v>
      </c>
    </row>
    <row r="49" spans="1:2" x14ac:dyDescent="0.35">
      <c r="A49" t="s">
        <v>174</v>
      </c>
      <c r="B49" t="s">
        <v>42</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7"/>
  <sheetViews>
    <sheetView workbookViewId="0">
      <selection activeCell="F15" sqref="F15"/>
    </sheetView>
  </sheetViews>
  <sheetFormatPr defaultRowHeight="14.5" x14ac:dyDescent="0.35"/>
  <cols>
    <col min="1" max="1" width="34.453125" customWidth="1"/>
    <col min="2" max="2" width="25.36328125" customWidth="1"/>
  </cols>
  <sheetData>
    <row r="1" spans="1:2" x14ac:dyDescent="0.35">
      <c r="A1" s="9" t="s">
        <v>175</v>
      </c>
      <c r="B1" t="s">
        <v>41</v>
      </c>
    </row>
    <row r="2" spans="1:2" x14ac:dyDescent="0.35">
      <c r="A2" t="s">
        <v>176</v>
      </c>
    </row>
    <row r="3" spans="1:2" x14ac:dyDescent="0.35">
      <c r="A3" t="s">
        <v>177</v>
      </c>
    </row>
    <row r="4" spans="1:2" x14ac:dyDescent="0.35">
      <c r="A4" t="s">
        <v>178</v>
      </c>
    </row>
    <row r="5" spans="1:2" x14ac:dyDescent="0.35">
      <c r="A5" t="s">
        <v>179</v>
      </c>
    </row>
    <row r="6" spans="1:2" x14ac:dyDescent="0.35">
      <c r="A6" t="s">
        <v>180</v>
      </c>
    </row>
    <row r="7" spans="1:2" x14ac:dyDescent="0.35">
      <c r="A7" t="s">
        <v>181</v>
      </c>
    </row>
    <row r="8" spans="1:2" x14ac:dyDescent="0.35">
      <c r="A8" t="s">
        <v>182</v>
      </c>
    </row>
    <row r="9" spans="1:2" x14ac:dyDescent="0.35">
      <c r="A9" t="s">
        <v>183</v>
      </c>
    </row>
    <row r="10" spans="1:2" x14ac:dyDescent="0.35">
      <c r="A10" t="s">
        <v>184</v>
      </c>
    </row>
    <row r="11" spans="1:2" x14ac:dyDescent="0.35">
      <c r="A11" t="s">
        <v>185</v>
      </c>
    </row>
    <row r="12" spans="1:2" x14ac:dyDescent="0.35">
      <c r="A12" t="s">
        <v>186</v>
      </c>
    </row>
    <row r="13" spans="1:2" x14ac:dyDescent="0.35">
      <c r="A13" t="s">
        <v>187</v>
      </c>
    </row>
    <row r="14" spans="1:2" x14ac:dyDescent="0.35">
      <c r="A14" t="s">
        <v>188</v>
      </c>
    </row>
    <row r="15" spans="1:2" x14ac:dyDescent="0.35">
      <c r="A15" t="s">
        <v>189</v>
      </c>
    </row>
    <row r="16" spans="1:2" x14ac:dyDescent="0.35">
      <c r="A16" t="s">
        <v>190</v>
      </c>
    </row>
    <row r="17" spans="1:1" x14ac:dyDescent="0.35">
      <c r="A17" t="s">
        <v>191</v>
      </c>
    </row>
    <row r="18" spans="1:1" x14ac:dyDescent="0.35">
      <c r="A18" t="s">
        <v>192</v>
      </c>
    </row>
    <row r="19" spans="1:1" x14ac:dyDescent="0.35">
      <c r="A19" t="s">
        <v>193</v>
      </c>
    </row>
    <row r="20" spans="1:1" x14ac:dyDescent="0.35">
      <c r="A20" t="s">
        <v>194</v>
      </c>
    </row>
    <row r="21" spans="1:1" x14ac:dyDescent="0.35">
      <c r="A21" t="s">
        <v>195</v>
      </c>
    </row>
    <row r="22" spans="1:1" x14ac:dyDescent="0.35">
      <c r="A22" t="s">
        <v>196</v>
      </c>
    </row>
    <row r="23" spans="1:1" x14ac:dyDescent="0.35">
      <c r="A23" t="s">
        <v>197</v>
      </c>
    </row>
    <row r="24" spans="1:1" x14ac:dyDescent="0.35">
      <c r="A24" t="s">
        <v>198</v>
      </c>
    </row>
    <row r="25" spans="1:1" x14ac:dyDescent="0.35">
      <c r="A25" t="s">
        <v>199</v>
      </c>
    </row>
    <row r="26" spans="1:1" x14ac:dyDescent="0.35">
      <c r="A26" t="s">
        <v>200</v>
      </c>
    </row>
    <row r="27" spans="1:1" x14ac:dyDescent="0.35">
      <c r="A27" t="s">
        <v>201</v>
      </c>
    </row>
    <row r="28" spans="1:1" x14ac:dyDescent="0.35">
      <c r="A28" t="s">
        <v>202</v>
      </c>
    </row>
    <row r="29" spans="1:1" x14ac:dyDescent="0.35">
      <c r="A29" t="s">
        <v>203</v>
      </c>
    </row>
    <row r="30" spans="1:1" x14ac:dyDescent="0.35">
      <c r="A30" t="s">
        <v>204</v>
      </c>
    </row>
    <row r="31" spans="1:1" x14ac:dyDescent="0.35">
      <c r="A31" t="s">
        <v>205</v>
      </c>
    </row>
    <row r="32" spans="1:1" x14ac:dyDescent="0.35">
      <c r="A32" t="s">
        <v>206</v>
      </c>
    </row>
    <row r="33" spans="1:1" x14ac:dyDescent="0.35">
      <c r="A33" t="s">
        <v>207</v>
      </c>
    </row>
    <row r="34" spans="1:1" x14ac:dyDescent="0.35">
      <c r="A34" t="s">
        <v>208</v>
      </c>
    </row>
    <row r="35" spans="1:1" x14ac:dyDescent="0.35">
      <c r="A35" t="s">
        <v>209</v>
      </c>
    </row>
    <row r="36" spans="1:1" x14ac:dyDescent="0.35">
      <c r="A36" t="s">
        <v>210</v>
      </c>
    </row>
    <row r="37" spans="1:1" x14ac:dyDescent="0.35">
      <c r="A37" t="s">
        <v>211</v>
      </c>
    </row>
    <row r="38" spans="1:1" x14ac:dyDescent="0.35">
      <c r="A38" t="s">
        <v>212</v>
      </c>
    </row>
    <row r="39" spans="1:1" x14ac:dyDescent="0.35">
      <c r="A39" t="s">
        <v>213</v>
      </c>
    </row>
    <row r="40" spans="1:1" x14ac:dyDescent="0.35">
      <c r="A40" t="s">
        <v>214</v>
      </c>
    </row>
    <row r="41" spans="1:1" x14ac:dyDescent="0.35">
      <c r="A41" t="s">
        <v>215</v>
      </c>
    </row>
    <row r="42" spans="1:1" x14ac:dyDescent="0.35">
      <c r="A42" t="s">
        <v>216</v>
      </c>
    </row>
    <row r="43" spans="1:1" x14ac:dyDescent="0.35">
      <c r="A43" t="s">
        <v>217</v>
      </c>
    </row>
    <row r="44" spans="1:1" x14ac:dyDescent="0.35">
      <c r="A44" t="s">
        <v>218</v>
      </c>
    </row>
    <row r="45" spans="1:1" x14ac:dyDescent="0.35">
      <c r="A45" t="s">
        <v>219</v>
      </c>
    </row>
    <row r="46" spans="1:1" x14ac:dyDescent="0.35">
      <c r="A46" t="s">
        <v>220</v>
      </c>
    </row>
    <row r="47" spans="1:1" x14ac:dyDescent="0.35">
      <c r="A47" t="s">
        <v>221</v>
      </c>
    </row>
    <row r="48" spans="1:1" x14ac:dyDescent="0.35">
      <c r="A48" t="s">
        <v>222</v>
      </c>
    </row>
    <row r="49" spans="1:1" x14ac:dyDescent="0.35">
      <c r="A49" t="s">
        <v>223</v>
      </c>
    </row>
    <row r="50" spans="1:1" x14ac:dyDescent="0.35">
      <c r="A50" t="s">
        <v>224</v>
      </c>
    </row>
    <row r="51" spans="1:1" x14ac:dyDescent="0.35">
      <c r="A51" t="s">
        <v>225</v>
      </c>
    </row>
    <row r="52" spans="1:1" x14ac:dyDescent="0.35">
      <c r="A52" t="s">
        <v>226</v>
      </c>
    </row>
    <row r="53" spans="1:1" x14ac:dyDescent="0.35">
      <c r="A53" t="s">
        <v>227</v>
      </c>
    </row>
    <row r="54" spans="1:1" x14ac:dyDescent="0.35">
      <c r="A54" t="s">
        <v>228</v>
      </c>
    </row>
    <row r="55" spans="1:1" x14ac:dyDescent="0.35">
      <c r="A55" t="s">
        <v>229</v>
      </c>
    </row>
    <row r="56" spans="1:1" x14ac:dyDescent="0.35">
      <c r="A56" t="s">
        <v>230</v>
      </c>
    </row>
    <row r="57" spans="1:1" x14ac:dyDescent="0.35">
      <c r="A57" t="s">
        <v>231</v>
      </c>
    </row>
    <row r="58" spans="1:1" x14ac:dyDescent="0.35">
      <c r="A58" t="s">
        <v>232</v>
      </c>
    </row>
    <row r="59" spans="1:1" x14ac:dyDescent="0.35">
      <c r="A59" t="s">
        <v>233</v>
      </c>
    </row>
    <row r="60" spans="1:1" x14ac:dyDescent="0.35">
      <c r="A60" t="s">
        <v>234</v>
      </c>
    </row>
    <row r="61" spans="1:1" x14ac:dyDescent="0.35">
      <c r="A61" t="s">
        <v>235</v>
      </c>
    </row>
    <row r="62" spans="1:1" x14ac:dyDescent="0.35">
      <c r="A62" t="s">
        <v>236</v>
      </c>
    </row>
    <row r="63" spans="1:1" x14ac:dyDescent="0.35">
      <c r="A63" t="s">
        <v>237</v>
      </c>
    </row>
    <row r="64" spans="1:1" x14ac:dyDescent="0.35">
      <c r="A64" t="s">
        <v>238</v>
      </c>
    </row>
    <row r="65" spans="1:1" x14ac:dyDescent="0.35">
      <c r="A65" t="s">
        <v>239</v>
      </c>
    </row>
    <row r="66" spans="1:1" x14ac:dyDescent="0.35">
      <c r="A66" t="s">
        <v>240</v>
      </c>
    </row>
    <row r="67" spans="1:1" x14ac:dyDescent="0.35">
      <c r="A67" t="s">
        <v>241</v>
      </c>
    </row>
    <row r="68" spans="1:1" x14ac:dyDescent="0.35">
      <c r="A68" t="s">
        <v>242</v>
      </c>
    </row>
    <row r="69" spans="1:1" x14ac:dyDescent="0.35">
      <c r="A69" t="s">
        <v>243</v>
      </c>
    </row>
    <row r="70" spans="1:1" x14ac:dyDescent="0.35">
      <c r="A70" t="s">
        <v>244</v>
      </c>
    </row>
    <row r="71" spans="1:1" x14ac:dyDescent="0.35">
      <c r="A71" t="s">
        <v>245</v>
      </c>
    </row>
    <row r="72" spans="1:1" x14ac:dyDescent="0.35">
      <c r="A72" t="s">
        <v>246</v>
      </c>
    </row>
    <row r="73" spans="1:1" x14ac:dyDescent="0.35">
      <c r="A73" t="s">
        <v>247</v>
      </c>
    </row>
    <row r="74" spans="1:1" x14ac:dyDescent="0.35">
      <c r="A74" t="s">
        <v>248</v>
      </c>
    </row>
    <row r="75" spans="1:1" x14ac:dyDescent="0.35">
      <c r="A75" t="s">
        <v>249</v>
      </c>
    </row>
    <row r="76" spans="1:1" x14ac:dyDescent="0.35">
      <c r="A76" t="s">
        <v>250</v>
      </c>
    </row>
    <row r="77" spans="1:1" x14ac:dyDescent="0.35">
      <c r="A77" t="s">
        <v>251</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5" sqref="K15"/>
    </sheetView>
  </sheetViews>
  <sheetFormatPr defaultRowHeight="14.5" x14ac:dyDescent="0.35"/>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Views>
    <sheetView topLeftCell="A10" workbookViewId="0">
      <selection activeCell="C10" sqref="C10"/>
    </sheetView>
  </sheetViews>
  <sheetFormatPr defaultRowHeight="14.5" x14ac:dyDescent="0.35"/>
  <cols>
    <col min="1" max="1" width="33.7265625" customWidth="1"/>
    <col min="2" max="2" width="26.453125" hidden="1" customWidth="1"/>
    <col min="3" max="3" width="55.54296875" customWidth="1"/>
    <col min="4" max="4" width="38.08984375" customWidth="1"/>
    <col min="5" max="5" width="35.26953125" customWidth="1"/>
  </cols>
  <sheetData>
    <row r="1" spans="1:5" x14ac:dyDescent="0.35">
      <c r="A1" s="10" t="s">
        <v>78</v>
      </c>
      <c r="B1" s="10" t="s">
        <v>41</v>
      </c>
      <c r="C1" s="10" t="s">
        <v>286</v>
      </c>
      <c r="D1" s="10" t="s">
        <v>287</v>
      </c>
      <c r="E1" s="10" t="s">
        <v>311</v>
      </c>
    </row>
    <row r="2" spans="1:5" x14ac:dyDescent="0.35">
      <c r="A2" s="3" t="s">
        <v>24</v>
      </c>
      <c r="B2" s="3" t="s">
        <v>42</v>
      </c>
      <c r="C2" s="15" t="s">
        <v>0</v>
      </c>
      <c r="D2" s="3" t="s">
        <v>288</v>
      </c>
      <c r="E2" s="3"/>
    </row>
    <row r="3" spans="1:5" x14ac:dyDescent="0.35">
      <c r="A3" s="3" t="s">
        <v>253</v>
      </c>
      <c r="B3" s="3" t="s">
        <v>42</v>
      </c>
      <c r="C3" s="15" t="s">
        <v>289</v>
      </c>
      <c r="D3" s="5" t="s">
        <v>290</v>
      </c>
      <c r="E3" s="3"/>
    </row>
    <row r="4" spans="1:5" x14ac:dyDescent="0.35">
      <c r="A4" s="3" t="s">
        <v>25</v>
      </c>
      <c r="B4" s="3" t="s">
        <v>124</v>
      </c>
      <c r="C4" s="15" t="s">
        <v>0</v>
      </c>
      <c r="D4" s="5" t="s">
        <v>288</v>
      </c>
      <c r="E4" s="3"/>
    </row>
    <row r="5" spans="1:5" x14ac:dyDescent="0.35">
      <c r="A5" s="3" t="s">
        <v>3</v>
      </c>
      <c r="B5" s="3" t="s">
        <v>43</v>
      </c>
      <c r="C5" s="15" t="s">
        <v>0</v>
      </c>
      <c r="D5" s="5" t="s">
        <v>288</v>
      </c>
      <c r="E5" s="3"/>
    </row>
    <row r="6" spans="1:5" x14ac:dyDescent="0.35">
      <c r="A6" s="3" t="s">
        <v>4</v>
      </c>
      <c r="B6" s="3" t="s">
        <v>43</v>
      </c>
      <c r="C6" s="15" t="s">
        <v>0</v>
      </c>
      <c r="D6" s="3" t="s">
        <v>288</v>
      </c>
      <c r="E6" s="3"/>
    </row>
    <row r="7" spans="1:5" x14ac:dyDescent="0.35">
      <c r="A7" s="3" t="s">
        <v>254</v>
      </c>
      <c r="B7" s="3" t="s">
        <v>43</v>
      </c>
      <c r="C7" s="15" t="s">
        <v>0</v>
      </c>
      <c r="D7" s="3" t="s">
        <v>288</v>
      </c>
      <c r="E7" s="3"/>
    </row>
    <row r="8" spans="1:5" x14ac:dyDescent="0.35">
      <c r="A8" s="3" t="s">
        <v>27</v>
      </c>
      <c r="B8" s="3" t="s">
        <v>43</v>
      </c>
      <c r="C8" s="15" t="s">
        <v>0</v>
      </c>
      <c r="D8" s="3" t="s">
        <v>288</v>
      </c>
      <c r="E8" s="3"/>
    </row>
    <row r="9" spans="1:5" x14ac:dyDescent="0.35">
      <c r="A9" s="3" t="s">
        <v>37</v>
      </c>
      <c r="B9" s="3" t="s">
        <v>43</v>
      </c>
      <c r="C9" s="15" t="s">
        <v>0</v>
      </c>
      <c r="D9" s="3" t="s">
        <v>288</v>
      </c>
      <c r="E9" s="3"/>
    </row>
    <row r="10" spans="1:5" ht="87" x14ac:dyDescent="0.35">
      <c r="A10" s="3" t="s">
        <v>255</v>
      </c>
      <c r="B10" s="3" t="s">
        <v>43</v>
      </c>
      <c r="C10" s="15" t="s">
        <v>291</v>
      </c>
      <c r="D10" s="3" t="s">
        <v>292</v>
      </c>
      <c r="E10" s="16" t="s">
        <v>310</v>
      </c>
    </row>
    <row r="11" spans="1:5" ht="29" x14ac:dyDescent="0.35">
      <c r="A11" s="3" t="s">
        <v>256</v>
      </c>
      <c r="B11" s="3" t="s">
        <v>43</v>
      </c>
      <c r="C11" s="15" t="s">
        <v>291</v>
      </c>
      <c r="D11" s="3" t="s">
        <v>322</v>
      </c>
      <c r="E11" s="16" t="s">
        <v>312</v>
      </c>
    </row>
    <row r="12" spans="1:5" ht="29" x14ac:dyDescent="0.35">
      <c r="A12" s="3" t="s">
        <v>257</v>
      </c>
      <c r="B12" s="3" t="s">
        <v>42</v>
      </c>
      <c r="C12" s="15" t="s">
        <v>289</v>
      </c>
      <c r="D12" s="3" t="s">
        <v>293</v>
      </c>
      <c r="E12" s="16" t="s">
        <v>313</v>
      </c>
    </row>
    <row r="13" spans="1:5" ht="43.5" x14ac:dyDescent="0.35">
      <c r="A13" s="3" t="s">
        <v>258</v>
      </c>
      <c r="B13" s="3" t="s">
        <v>42</v>
      </c>
      <c r="C13" s="15" t="s">
        <v>291</v>
      </c>
      <c r="D13" s="5" t="s">
        <v>9</v>
      </c>
      <c r="E13" s="16" t="s">
        <v>314</v>
      </c>
    </row>
    <row r="14" spans="1:5" ht="29" x14ac:dyDescent="0.35">
      <c r="A14" s="3" t="s">
        <v>259</v>
      </c>
      <c r="B14" s="3" t="s">
        <v>42</v>
      </c>
      <c r="C14" s="15" t="s">
        <v>291</v>
      </c>
      <c r="D14" s="3" t="s">
        <v>258</v>
      </c>
      <c r="E14" s="16" t="s">
        <v>315</v>
      </c>
    </row>
    <row r="15" spans="1:5" ht="116" x14ac:dyDescent="0.35">
      <c r="A15" s="3" t="s">
        <v>260</v>
      </c>
      <c r="B15" s="3" t="s">
        <v>42</v>
      </c>
      <c r="C15" s="15" t="s">
        <v>291</v>
      </c>
      <c r="D15" s="3" t="s">
        <v>35</v>
      </c>
      <c r="E15" s="16" t="s">
        <v>342</v>
      </c>
    </row>
    <row r="16" spans="1:5" ht="43.5" x14ac:dyDescent="0.35">
      <c r="A16" s="3" t="s">
        <v>261</v>
      </c>
      <c r="B16" s="3" t="s">
        <v>42</v>
      </c>
      <c r="C16" s="15" t="s">
        <v>291</v>
      </c>
      <c r="D16" s="5" t="s">
        <v>14</v>
      </c>
      <c r="E16" s="16" t="s">
        <v>341</v>
      </c>
    </row>
    <row r="17" spans="1:5" ht="29" x14ac:dyDescent="0.35">
      <c r="A17" s="3" t="s">
        <v>262</v>
      </c>
      <c r="B17" s="3" t="s">
        <v>42</v>
      </c>
      <c r="C17" s="15" t="s">
        <v>291</v>
      </c>
      <c r="D17" s="3" t="s">
        <v>9</v>
      </c>
      <c r="E17" s="16" t="s">
        <v>340</v>
      </c>
    </row>
    <row r="18" spans="1:5" ht="409.5" x14ac:dyDescent="0.35">
      <c r="A18" s="3" t="s">
        <v>263</v>
      </c>
      <c r="B18" s="3" t="s">
        <v>42</v>
      </c>
      <c r="C18" s="15" t="s">
        <v>291</v>
      </c>
      <c r="D18" s="3" t="s">
        <v>258</v>
      </c>
      <c r="E18" s="16" t="s">
        <v>339</v>
      </c>
    </row>
    <row r="19" spans="1:5" ht="58" x14ac:dyDescent="0.35">
      <c r="A19" s="3" t="s">
        <v>264</v>
      </c>
      <c r="B19" s="3" t="s">
        <v>42</v>
      </c>
      <c r="C19" s="15" t="s">
        <v>291</v>
      </c>
      <c r="D19" s="3" t="s">
        <v>294</v>
      </c>
      <c r="E19" s="17" t="s">
        <v>336</v>
      </c>
    </row>
    <row r="20" spans="1:5" ht="72.5" x14ac:dyDescent="0.35">
      <c r="A20" s="3" t="s">
        <v>265</v>
      </c>
      <c r="B20" s="3" t="s">
        <v>42</v>
      </c>
      <c r="C20" s="15" t="s">
        <v>323</v>
      </c>
      <c r="D20" s="3" t="s">
        <v>337</v>
      </c>
      <c r="E20" s="16" t="s">
        <v>338</v>
      </c>
    </row>
    <row r="21" spans="1:5" ht="43.5" x14ac:dyDescent="0.35">
      <c r="A21" s="3" t="s">
        <v>266</v>
      </c>
      <c r="B21" s="3" t="s">
        <v>42</v>
      </c>
      <c r="C21" s="15" t="s">
        <v>291</v>
      </c>
      <c r="D21" s="3" t="s">
        <v>265</v>
      </c>
      <c r="E21" s="16" t="s">
        <v>333</v>
      </c>
    </row>
    <row r="22" spans="1:5" x14ac:dyDescent="0.35">
      <c r="A22" s="3" t="s">
        <v>267</v>
      </c>
      <c r="B22" s="3" t="s">
        <v>45</v>
      </c>
      <c r="C22" s="5" t="s">
        <v>291</v>
      </c>
      <c r="D22" s="5" t="s">
        <v>40</v>
      </c>
      <c r="E22" s="5" t="s">
        <v>335</v>
      </c>
    </row>
    <row r="23" spans="1:5" ht="58" x14ac:dyDescent="0.35">
      <c r="A23" s="3" t="s">
        <v>269</v>
      </c>
      <c r="B23" s="3" t="s">
        <v>42</v>
      </c>
      <c r="C23" s="15" t="s">
        <v>291</v>
      </c>
      <c r="D23" s="3" t="s">
        <v>14</v>
      </c>
      <c r="E23" s="16" t="s">
        <v>334</v>
      </c>
    </row>
    <row r="24" spans="1:5" ht="43.5" x14ac:dyDescent="0.35">
      <c r="A24" s="3" t="s">
        <v>270</v>
      </c>
      <c r="B24" s="3" t="s">
        <v>42</v>
      </c>
      <c r="C24" s="15" t="s">
        <v>295</v>
      </c>
      <c r="D24" s="3" t="s">
        <v>301</v>
      </c>
      <c r="E24" s="16" t="s">
        <v>332</v>
      </c>
    </row>
    <row r="25" spans="1:5" x14ac:dyDescent="0.35">
      <c r="A25" s="3" t="s">
        <v>271</v>
      </c>
      <c r="B25" s="3" t="s">
        <v>42</v>
      </c>
      <c r="C25" s="15" t="s">
        <v>295</v>
      </c>
      <c r="D25" s="5" t="s">
        <v>296</v>
      </c>
      <c r="E25" s="18"/>
    </row>
    <row r="26" spans="1:5" x14ac:dyDescent="0.35">
      <c r="A26" s="3" t="s">
        <v>272</v>
      </c>
      <c r="B26" s="3" t="s">
        <v>45</v>
      </c>
      <c r="C26" s="15" t="s">
        <v>289</v>
      </c>
      <c r="D26" s="3" t="s">
        <v>297</v>
      </c>
      <c r="E26" s="3"/>
    </row>
    <row r="27" spans="1:5" ht="29" x14ac:dyDescent="0.35">
      <c r="A27" s="3" t="s">
        <v>273</v>
      </c>
      <c r="B27" s="3" t="s">
        <v>43</v>
      </c>
      <c r="C27" s="15" t="s">
        <v>291</v>
      </c>
      <c r="D27" s="3" t="s">
        <v>298</v>
      </c>
      <c r="E27" s="19" t="s">
        <v>331</v>
      </c>
    </row>
    <row r="28" spans="1:5" x14ac:dyDescent="0.35">
      <c r="A28" s="3" t="s">
        <v>274</v>
      </c>
      <c r="B28" s="3" t="s">
        <v>43</v>
      </c>
      <c r="C28" s="15" t="s">
        <v>291</v>
      </c>
      <c r="D28" s="3" t="s">
        <v>299</v>
      </c>
      <c r="E28" s="19" t="s">
        <v>330</v>
      </c>
    </row>
    <row r="29" spans="1:5" x14ac:dyDescent="0.35">
      <c r="A29" s="3" t="s">
        <v>275</v>
      </c>
      <c r="B29" s="3" t="s">
        <v>42</v>
      </c>
      <c r="C29" s="15" t="s">
        <v>289</v>
      </c>
      <c r="D29" s="3" t="s">
        <v>300</v>
      </c>
      <c r="E29" s="19" t="s">
        <v>329</v>
      </c>
    </row>
    <row r="30" spans="1:5" x14ac:dyDescent="0.35">
      <c r="A30" s="3" t="s">
        <v>276</v>
      </c>
      <c r="B30" s="3" t="s">
        <v>42</v>
      </c>
      <c r="C30" s="15" t="s">
        <v>328</v>
      </c>
      <c r="D30" s="2" t="s">
        <v>288</v>
      </c>
      <c r="E30" s="3"/>
    </row>
    <row r="31" spans="1:5" ht="174" x14ac:dyDescent="0.35">
      <c r="A31" s="3" t="s">
        <v>277</v>
      </c>
      <c r="B31" s="3" t="s">
        <v>42</v>
      </c>
      <c r="C31" s="5" t="s">
        <v>325</v>
      </c>
      <c r="D31" s="3" t="s">
        <v>288</v>
      </c>
      <c r="E31" s="16" t="s">
        <v>326</v>
      </c>
    </row>
    <row r="32" spans="1:5" ht="174" x14ac:dyDescent="0.35">
      <c r="A32" s="3" t="s">
        <v>278</v>
      </c>
      <c r="B32" s="3" t="s">
        <v>42</v>
      </c>
      <c r="C32" s="5" t="s">
        <v>323</v>
      </c>
      <c r="D32" s="3" t="s">
        <v>324</v>
      </c>
      <c r="E32" s="16" t="s">
        <v>327</v>
      </c>
    </row>
    <row r="33" spans="1:5" x14ac:dyDescent="0.35">
      <c r="A33" s="3" t="s">
        <v>15</v>
      </c>
      <c r="B33" s="3" t="s">
        <v>43</v>
      </c>
      <c r="C33" s="15" t="s">
        <v>0</v>
      </c>
      <c r="D33" s="5" t="s">
        <v>288</v>
      </c>
      <c r="E33" s="3"/>
    </row>
    <row r="34" spans="1:5" x14ac:dyDescent="0.35">
      <c r="A34" s="3" t="s">
        <v>16</v>
      </c>
      <c r="B34" s="3" t="s">
        <v>45</v>
      </c>
      <c r="C34" s="15" t="s">
        <v>0</v>
      </c>
      <c r="D34" s="5" t="s">
        <v>288</v>
      </c>
      <c r="E34" s="3"/>
    </row>
    <row r="35" spans="1:5" x14ac:dyDescent="0.35">
      <c r="A35" s="3" t="s">
        <v>279</v>
      </c>
      <c r="B35" s="3" t="s">
        <v>124</v>
      </c>
      <c r="C35" s="5" t="s">
        <v>344</v>
      </c>
      <c r="D35" s="3" t="s">
        <v>343</v>
      </c>
      <c r="E35" s="3"/>
    </row>
    <row r="36" spans="1:5" x14ac:dyDescent="0.35">
      <c r="A36" s="3" t="s">
        <v>280</v>
      </c>
      <c r="B36" s="3" t="s">
        <v>42</v>
      </c>
      <c r="C36" s="5" t="s">
        <v>0</v>
      </c>
      <c r="D36" s="3" t="s">
        <v>345</v>
      </c>
      <c r="E36" s="3"/>
    </row>
    <row r="37" spans="1:5" x14ac:dyDescent="0.35">
      <c r="A37" s="3" t="s">
        <v>281</v>
      </c>
      <c r="B37" s="3" t="s">
        <v>42</v>
      </c>
      <c r="C37" s="5" t="s">
        <v>0</v>
      </c>
      <c r="D37" s="3" t="s">
        <v>72</v>
      </c>
      <c r="E37" s="3"/>
    </row>
    <row r="38" spans="1:5" x14ac:dyDescent="0.35">
      <c r="A38" s="3" t="s">
        <v>282</v>
      </c>
      <c r="B38" s="3" t="s">
        <v>124</v>
      </c>
      <c r="C38" s="3" t="s">
        <v>349</v>
      </c>
      <c r="D38" s="3" t="s">
        <v>346</v>
      </c>
      <c r="E38" s="3"/>
    </row>
    <row r="39" spans="1:5" x14ac:dyDescent="0.35">
      <c r="A39" s="3" t="s">
        <v>283</v>
      </c>
      <c r="B39" s="3" t="s">
        <v>42</v>
      </c>
      <c r="C39" s="3" t="s">
        <v>348</v>
      </c>
      <c r="D39" s="3" t="s">
        <v>283</v>
      </c>
      <c r="E39" s="3"/>
    </row>
    <row r="40" spans="1:5" x14ac:dyDescent="0.35">
      <c r="A40" s="3" t="s">
        <v>284</v>
      </c>
      <c r="B40" s="3" t="s">
        <v>42</v>
      </c>
      <c r="C40" s="3" t="s">
        <v>348</v>
      </c>
      <c r="D40" s="3" t="s">
        <v>347</v>
      </c>
      <c r="E40" s="3"/>
    </row>
    <row r="41" spans="1:5" x14ac:dyDescent="0.35">
      <c r="A41" s="3" t="s">
        <v>285</v>
      </c>
      <c r="B41" s="3" t="s">
        <v>42</v>
      </c>
      <c r="C41" s="3" t="s">
        <v>302</v>
      </c>
      <c r="D41" s="3" t="s">
        <v>303</v>
      </c>
      <c r="E41" s="3"/>
    </row>
    <row r="42" spans="1:5" x14ac:dyDescent="0.35">
      <c r="A42" s="3" t="s">
        <v>83</v>
      </c>
      <c r="B42" s="3" t="s">
        <v>42</v>
      </c>
      <c r="C42" s="3" t="s">
        <v>302</v>
      </c>
      <c r="D42" s="3"/>
      <c r="E42" s="3"/>
    </row>
    <row r="43" spans="1:5" x14ac:dyDescent="0.35">
      <c r="A43" s="3" t="s">
        <v>84</v>
      </c>
      <c r="B43" s="3" t="s">
        <v>42</v>
      </c>
      <c r="C43" s="3" t="s">
        <v>302</v>
      </c>
      <c r="D43" s="3"/>
      <c r="E43" s="3"/>
    </row>
    <row r="44" spans="1:5" x14ac:dyDescent="0.35">
      <c r="A44" s="3" t="s">
        <v>85</v>
      </c>
      <c r="B44" s="3" t="s">
        <v>42</v>
      </c>
      <c r="C44" s="3" t="s">
        <v>302</v>
      </c>
      <c r="D44" s="3" t="s">
        <v>304</v>
      </c>
      <c r="E44" s="3"/>
    </row>
    <row r="45" spans="1:5" x14ac:dyDescent="0.35">
      <c r="A45" s="3" t="s">
        <v>86</v>
      </c>
      <c r="B45" s="3" t="s">
        <v>42</v>
      </c>
      <c r="C45" s="3" t="s">
        <v>302</v>
      </c>
      <c r="D45" s="2" t="s">
        <v>321</v>
      </c>
      <c r="E45" s="3"/>
    </row>
    <row r="46" spans="1:5" x14ac:dyDescent="0.35">
      <c r="A46" s="3" t="s">
        <v>87</v>
      </c>
      <c r="B46" s="3" t="s">
        <v>42</v>
      </c>
      <c r="C46" s="3" t="s">
        <v>302</v>
      </c>
      <c r="D46" s="3" t="s">
        <v>305</v>
      </c>
      <c r="E46" s="3"/>
    </row>
    <row r="47" spans="1:5" x14ac:dyDescent="0.35">
      <c r="A47" s="3" t="s">
        <v>88</v>
      </c>
      <c r="B47" s="3" t="s">
        <v>42</v>
      </c>
      <c r="C47" s="3" t="s">
        <v>302</v>
      </c>
      <c r="D47" s="3" t="s">
        <v>306</v>
      </c>
      <c r="E47" s="3"/>
    </row>
    <row r="48" spans="1:5" x14ac:dyDescent="0.35">
      <c r="A48" s="3" t="s">
        <v>89</v>
      </c>
      <c r="B48" s="3" t="s">
        <v>42</v>
      </c>
      <c r="C48" s="3" t="s">
        <v>302</v>
      </c>
      <c r="D48" s="3"/>
      <c r="E48" s="3"/>
    </row>
    <row r="49" spans="1:5" x14ac:dyDescent="0.35">
      <c r="A49" s="3" t="s">
        <v>90</v>
      </c>
      <c r="B49" s="3" t="s">
        <v>42</v>
      </c>
      <c r="C49" s="3" t="s">
        <v>302</v>
      </c>
      <c r="D49" s="3"/>
      <c r="E49" s="3"/>
    </row>
    <row r="50" spans="1:5" x14ac:dyDescent="0.35">
      <c r="A50" s="3" t="s">
        <v>92</v>
      </c>
      <c r="B50" s="3" t="s">
        <v>42</v>
      </c>
      <c r="C50" s="3" t="s">
        <v>302</v>
      </c>
      <c r="D50" s="3"/>
      <c r="E50" s="3"/>
    </row>
    <row r="51" spans="1:5" x14ac:dyDescent="0.35">
      <c r="A51" s="3" t="s">
        <v>93</v>
      </c>
      <c r="B51" s="3" t="s">
        <v>42</v>
      </c>
      <c r="C51" s="3" t="s">
        <v>302</v>
      </c>
      <c r="D51" s="2" t="s">
        <v>319</v>
      </c>
      <c r="E51" s="3"/>
    </row>
    <row r="52" spans="1:5" x14ac:dyDescent="0.35">
      <c r="A52" s="3" t="s">
        <v>94</v>
      </c>
      <c r="B52" s="3" t="s">
        <v>42</v>
      </c>
      <c r="C52" s="3" t="s">
        <v>302</v>
      </c>
      <c r="D52" s="2" t="s">
        <v>307</v>
      </c>
      <c r="E52" s="3"/>
    </row>
    <row r="53" spans="1:5" x14ac:dyDescent="0.35">
      <c r="A53" s="3" t="s">
        <v>96</v>
      </c>
      <c r="B53" s="3" t="s">
        <v>42</v>
      </c>
      <c r="C53" s="3" t="s">
        <v>302</v>
      </c>
      <c r="D53" s="3"/>
      <c r="E53" s="3"/>
    </row>
    <row r="54" spans="1:5" x14ac:dyDescent="0.35">
      <c r="A54" s="3" t="s">
        <v>98</v>
      </c>
      <c r="B54" s="3" t="s">
        <v>42</v>
      </c>
      <c r="C54" s="3" t="s">
        <v>302</v>
      </c>
      <c r="D54" s="3" t="s">
        <v>320</v>
      </c>
      <c r="E54" s="3"/>
    </row>
    <row r="55" spans="1:5" x14ac:dyDescent="0.35">
      <c r="A55" s="3" t="s">
        <v>99</v>
      </c>
      <c r="B55" s="3" t="s">
        <v>42</v>
      </c>
      <c r="C55" s="3" t="s">
        <v>302</v>
      </c>
      <c r="D55" s="3" t="s">
        <v>317</v>
      </c>
      <c r="E55" s="3"/>
    </row>
    <row r="56" spans="1:5" x14ac:dyDescent="0.35">
      <c r="A56" s="3" t="s">
        <v>100</v>
      </c>
      <c r="B56" s="3" t="s">
        <v>42</v>
      </c>
      <c r="C56" s="3" t="s">
        <v>302</v>
      </c>
      <c r="D56" s="3" t="s">
        <v>308</v>
      </c>
      <c r="E56" s="3"/>
    </row>
    <row r="57" spans="1:5" x14ac:dyDescent="0.35">
      <c r="A57" s="3" t="s">
        <v>101</v>
      </c>
      <c r="B57" s="3" t="s">
        <v>42</v>
      </c>
      <c r="C57" s="3" t="s">
        <v>302</v>
      </c>
      <c r="D57" s="2" t="s">
        <v>318</v>
      </c>
      <c r="E57" s="3"/>
    </row>
    <row r="58" spans="1:5" x14ac:dyDescent="0.35">
      <c r="A58" s="3" t="s">
        <v>102</v>
      </c>
      <c r="B58" s="3" t="s">
        <v>42</v>
      </c>
      <c r="C58" s="3" t="s">
        <v>302</v>
      </c>
      <c r="D58" s="3" t="s">
        <v>309</v>
      </c>
      <c r="E58" s="3"/>
    </row>
    <row r="59" spans="1:5" x14ac:dyDescent="0.35">
      <c r="A59" s="3" t="s">
        <v>103</v>
      </c>
      <c r="B59" s="3" t="s">
        <v>42</v>
      </c>
      <c r="C59" s="3" t="s">
        <v>302</v>
      </c>
      <c r="D59" s="3" t="s">
        <v>316</v>
      </c>
      <c r="E59" s="3"/>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B12" sqref="B12"/>
    </sheetView>
  </sheetViews>
  <sheetFormatPr defaultRowHeight="14.5" x14ac:dyDescent="0.35"/>
  <cols>
    <col min="1" max="1" width="24.81640625" customWidth="1"/>
    <col min="2" max="3" width="35.81640625" customWidth="1"/>
    <col min="4" max="4" width="26" customWidth="1"/>
    <col min="5" max="5" width="33.90625" customWidth="1"/>
  </cols>
  <sheetData>
    <row r="1" spans="1:5" x14ac:dyDescent="0.35">
      <c r="A1" s="20" t="s">
        <v>350</v>
      </c>
      <c r="B1" s="20" t="s">
        <v>351</v>
      </c>
      <c r="C1" s="20" t="s">
        <v>41</v>
      </c>
      <c r="D1" s="20" t="s">
        <v>352</v>
      </c>
      <c r="E1" s="20" t="s">
        <v>78</v>
      </c>
    </row>
    <row r="2" spans="1:5" x14ac:dyDescent="0.35">
      <c r="A2" s="21" t="s">
        <v>353</v>
      </c>
      <c r="B2" s="3" t="s">
        <v>354</v>
      </c>
      <c r="C2" s="3" t="s">
        <v>252</v>
      </c>
      <c r="D2" s="21" t="s">
        <v>355</v>
      </c>
      <c r="E2" s="3" t="s">
        <v>24</v>
      </c>
    </row>
    <row r="3" spans="1:5" x14ac:dyDescent="0.35">
      <c r="A3" s="21" t="s">
        <v>353</v>
      </c>
      <c r="B3" s="3" t="s">
        <v>356</v>
      </c>
      <c r="C3" s="3" t="s">
        <v>252</v>
      </c>
      <c r="D3" s="21"/>
      <c r="E3" s="21"/>
    </row>
    <row r="4" spans="1:5" x14ac:dyDescent="0.35">
      <c r="A4" s="21" t="s">
        <v>353</v>
      </c>
      <c r="B4" s="3" t="s">
        <v>397</v>
      </c>
      <c r="C4" s="3" t="s">
        <v>268</v>
      </c>
      <c r="D4" s="21"/>
      <c r="E4" s="21"/>
    </row>
    <row r="5" spans="1:5" x14ac:dyDescent="0.35">
      <c r="A5" s="21" t="s">
        <v>353</v>
      </c>
      <c r="B5" s="3" t="s">
        <v>357</v>
      </c>
      <c r="C5" s="3" t="s">
        <v>252</v>
      </c>
      <c r="D5" s="21" t="s">
        <v>355</v>
      </c>
      <c r="E5" s="21" t="s">
        <v>358</v>
      </c>
    </row>
    <row r="6" spans="1:5" x14ac:dyDescent="0.35">
      <c r="A6" s="21" t="s">
        <v>353</v>
      </c>
      <c r="B6" s="3" t="s">
        <v>359</v>
      </c>
      <c r="C6" s="3" t="s">
        <v>252</v>
      </c>
      <c r="D6" s="21" t="s">
        <v>355</v>
      </c>
      <c r="E6" s="21" t="s">
        <v>360</v>
      </c>
    </row>
    <row r="7" spans="1:5" x14ac:dyDescent="0.35">
      <c r="A7" s="21" t="s">
        <v>353</v>
      </c>
      <c r="B7" s="3" t="s">
        <v>361</v>
      </c>
      <c r="C7" s="3" t="s">
        <v>252</v>
      </c>
      <c r="D7" s="21" t="s">
        <v>390</v>
      </c>
      <c r="E7" s="21" t="s">
        <v>262</v>
      </c>
    </row>
    <row r="8" spans="1:5" x14ac:dyDescent="0.35">
      <c r="A8" s="21" t="s">
        <v>353</v>
      </c>
      <c r="B8" s="3" t="s">
        <v>362</v>
      </c>
      <c r="C8" s="3" t="s">
        <v>252</v>
      </c>
      <c r="D8" s="21" t="s">
        <v>355</v>
      </c>
      <c r="E8" s="21" t="s">
        <v>19</v>
      </c>
    </row>
    <row r="9" spans="1:5" x14ac:dyDescent="0.35">
      <c r="A9" s="21" t="s">
        <v>353</v>
      </c>
      <c r="B9" s="3" t="s">
        <v>363</v>
      </c>
      <c r="C9" s="3" t="s">
        <v>252</v>
      </c>
      <c r="D9" s="21" t="s">
        <v>355</v>
      </c>
      <c r="E9" s="21" t="s">
        <v>364</v>
      </c>
    </row>
    <row r="10" spans="1:5" x14ac:dyDescent="0.35">
      <c r="A10" s="21" t="s">
        <v>353</v>
      </c>
      <c r="B10" s="3" t="s">
        <v>365</v>
      </c>
      <c r="C10" s="3" t="s">
        <v>252</v>
      </c>
      <c r="D10" s="21" t="s">
        <v>355</v>
      </c>
      <c r="E10" s="21" t="s">
        <v>22</v>
      </c>
    </row>
    <row r="11" spans="1:5" x14ac:dyDescent="0.35">
      <c r="A11" s="21" t="s">
        <v>353</v>
      </c>
      <c r="B11" s="3" t="s">
        <v>366</v>
      </c>
      <c r="C11" s="3" t="s">
        <v>252</v>
      </c>
      <c r="D11" s="21" t="s">
        <v>390</v>
      </c>
      <c r="E11" s="21" t="s">
        <v>277</v>
      </c>
    </row>
    <row r="12" spans="1:5" x14ac:dyDescent="0.35">
      <c r="A12" s="21" t="s">
        <v>353</v>
      </c>
      <c r="B12" s="3" t="s">
        <v>367</v>
      </c>
      <c r="C12" s="3" t="s">
        <v>252</v>
      </c>
      <c r="D12" s="21" t="s">
        <v>355</v>
      </c>
      <c r="E12" s="21" t="s">
        <v>391</v>
      </c>
    </row>
    <row r="13" spans="1:5" x14ac:dyDescent="0.35">
      <c r="A13" s="21" t="s">
        <v>353</v>
      </c>
      <c r="B13" s="3" t="s">
        <v>368</v>
      </c>
      <c r="C13" s="3" t="s">
        <v>252</v>
      </c>
      <c r="D13" s="21" t="s">
        <v>344</v>
      </c>
      <c r="E13" s="21" t="s">
        <v>392</v>
      </c>
    </row>
    <row r="14" spans="1:5" x14ac:dyDescent="0.35">
      <c r="A14" s="21" t="s">
        <v>353</v>
      </c>
      <c r="B14" s="3" t="s">
        <v>369</v>
      </c>
      <c r="C14" s="3" t="s">
        <v>252</v>
      </c>
      <c r="D14" s="21" t="s">
        <v>344</v>
      </c>
      <c r="E14" s="21" t="s">
        <v>393</v>
      </c>
    </row>
    <row r="15" spans="1:5" x14ac:dyDescent="0.35">
      <c r="A15" s="21" t="s">
        <v>353</v>
      </c>
      <c r="B15" s="3" t="s">
        <v>398</v>
      </c>
      <c r="C15" s="3" t="s">
        <v>252</v>
      </c>
      <c r="D15" s="21" t="s">
        <v>396</v>
      </c>
      <c r="E15" s="21"/>
    </row>
    <row r="16" spans="1:5" x14ac:dyDescent="0.35">
      <c r="A16" s="21" t="s">
        <v>353</v>
      </c>
      <c r="B16" s="3" t="s">
        <v>399</v>
      </c>
      <c r="C16" s="3" t="s">
        <v>252</v>
      </c>
      <c r="D16" s="21" t="s">
        <v>395</v>
      </c>
      <c r="E16" s="21" t="s">
        <v>394</v>
      </c>
    </row>
    <row r="17" spans="1:5" x14ac:dyDescent="0.35">
      <c r="A17" s="21" t="s">
        <v>353</v>
      </c>
      <c r="B17" s="3" t="s">
        <v>370</v>
      </c>
      <c r="C17" s="3" t="s">
        <v>252</v>
      </c>
      <c r="D17" s="21" t="s">
        <v>355</v>
      </c>
      <c r="E17" s="21" t="s">
        <v>371</v>
      </c>
    </row>
    <row r="18" spans="1:5" x14ac:dyDescent="0.35">
      <c r="A18" s="21" t="s">
        <v>353</v>
      </c>
      <c r="B18" s="3" t="s">
        <v>372</v>
      </c>
      <c r="C18" s="3" t="s">
        <v>252</v>
      </c>
      <c r="D18" s="21" t="s">
        <v>373</v>
      </c>
      <c r="E18" s="21" t="s">
        <v>374</v>
      </c>
    </row>
    <row r="19" spans="1:5" x14ac:dyDescent="0.35">
      <c r="A19" s="21" t="s">
        <v>353</v>
      </c>
      <c r="B19" s="3" t="s">
        <v>375</v>
      </c>
      <c r="C19" s="3" t="s">
        <v>400</v>
      </c>
      <c r="D19" s="21" t="s">
        <v>355</v>
      </c>
      <c r="E19" s="21" t="s">
        <v>376</v>
      </c>
    </row>
    <row r="20" spans="1:5" x14ac:dyDescent="0.35">
      <c r="A20" s="21" t="s">
        <v>353</v>
      </c>
      <c r="B20" s="3" t="s">
        <v>377</v>
      </c>
      <c r="C20" s="3" t="s">
        <v>400</v>
      </c>
      <c r="D20" s="21" t="s">
        <v>396</v>
      </c>
      <c r="E20" s="21"/>
    </row>
    <row r="21" spans="1:5" x14ac:dyDescent="0.35">
      <c r="A21" s="21" t="s">
        <v>353</v>
      </c>
      <c r="B21" s="3" t="s">
        <v>378</v>
      </c>
      <c r="C21" s="3" t="s">
        <v>252</v>
      </c>
      <c r="D21" s="21" t="s">
        <v>175</v>
      </c>
      <c r="E21" s="21" t="s">
        <v>379</v>
      </c>
    </row>
    <row r="22" spans="1:5" x14ac:dyDescent="0.35">
      <c r="A22" s="21" t="s">
        <v>353</v>
      </c>
      <c r="B22" s="3" t="s">
        <v>380</v>
      </c>
      <c r="C22" s="3" t="s">
        <v>252</v>
      </c>
      <c r="D22" s="21" t="s">
        <v>175</v>
      </c>
      <c r="E22" s="21" t="s">
        <v>381</v>
      </c>
    </row>
    <row r="23" spans="1:5" x14ac:dyDescent="0.35">
      <c r="A23" s="21" t="s">
        <v>353</v>
      </c>
      <c r="B23" s="3" t="s">
        <v>382</v>
      </c>
      <c r="C23" s="3" t="s">
        <v>252</v>
      </c>
      <c r="D23" s="21" t="s">
        <v>373</v>
      </c>
      <c r="E23" s="21" t="s">
        <v>383</v>
      </c>
    </row>
    <row r="24" spans="1:5" x14ac:dyDescent="0.35">
      <c r="A24" s="21" t="s">
        <v>353</v>
      </c>
      <c r="B24" s="3" t="s">
        <v>384</v>
      </c>
      <c r="C24" s="3" t="s">
        <v>252</v>
      </c>
      <c r="D24" s="21" t="s">
        <v>373</v>
      </c>
      <c r="E24" s="21" t="s">
        <v>385</v>
      </c>
    </row>
    <row r="25" spans="1:5" x14ac:dyDescent="0.35">
      <c r="A25" s="21" t="s">
        <v>353</v>
      </c>
      <c r="B25" s="3" t="s">
        <v>386</v>
      </c>
      <c r="C25" s="3" t="s">
        <v>252</v>
      </c>
      <c r="D25" s="21" t="s">
        <v>373</v>
      </c>
      <c r="E25" s="21" t="s">
        <v>387</v>
      </c>
    </row>
    <row r="26" spans="1:5" x14ac:dyDescent="0.35">
      <c r="A26" s="21" t="s">
        <v>353</v>
      </c>
      <c r="B26" s="3" t="s">
        <v>389</v>
      </c>
      <c r="C26" s="3" t="s">
        <v>45</v>
      </c>
      <c r="D26" s="21"/>
      <c r="E26" s="21"/>
    </row>
    <row r="27" spans="1:5" x14ac:dyDescent="0.35">
      <c r="A27" s="21"/>
      <c r="B27" s="21"/>
      <c r="C27" s="21"/>
      <c r="D27" s="21"/>
      <c r="E27" s="21"/>
    </row>
    <row r="28" spans="1:5" x14ac:dyDescent="0.35">
      <c r="A28" s="21"/>
      <c r="B28" s="21"/>
      <c r="C28" s="21"/>
      <c r="D28" s="21"/>
      <c r="E28" s="21"/>
    </row>
    <row r="29" spans="1:5" x14ac:dyDescent="0.35">
      <c r="A29" s="21"/>
      <c r="B29" s="21"/>
      <c r="C29" s="21"/>
      <c r="D29" s="21"/>
      <c r="E29" s="21"/>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0"/>
  <sheetViews>
    <sheetView workbookViewId="0">
      <selection activeCell="C9" sqref="C9"/>
    </sheetView>
  </sheetViews>
  <sheetFormatPr defaultRowHeight="14.5" x14ac:dyDescent="0.35"/>
  <cols>
    <col min="1" max="1" width="46.6328125" bestFit="1" customWidth="1"/>
    <col min="2" max="2" width="11.1796875" bestFit="1" customWidth="1"/>
    <col min="3" max="3" width="14.90625" bestFit="1" customWidth="1"/>
    <col min="4" max="4" width="150.08984375" bestFit="1" customWidth="1"/>
  </cols>
  <sheetData>
    <row r="1" spans="1:4" x14ac:dyDescent="0.35">
      <c r="A1" s="1" t="s">
        <v>578</v>
      </c>
      <c r="B1" s="1" t="s">
        <v>401</v>
      </c>
      <c r="C1" s="1" t="s">
        <v>402</v>
      </c>
      <c r="D1" s="1" t="s">
        <v>126</v>
      </c>
    </row>
    <row r="2" spans="1:4" x14ac:dyDescent="0.35">
      <c r="A2" s="22" t="s">
        <v>403</v>
      </c>
      <c r="B2" s="23" t="s">
        <v>404</v>
      </c>
      <c r="C2" s="23" t="s">
        <v>405</v>
      </c>
      <c r="D2" s="24">
        <v>181100500981312</v>
      </c>
    </row>
    <row r="3" spans="1:4" x14ac:dyDescent="0.35">
      <c r="A3" s="22" t="s">
        <v>406</v>
      </c>
      <c r="B3" s="23" t="s">
        <v>404</v>
      </c>
      <c r="C3" s="23" t="s">
        <v>405</v>
      </c>
      <c r="D3" s="25" t="s">
        <v>408</v>
      </c>
    </row>
    <row r="4" spans="1:4" x14ac:dyDescent="0.35">
      <c r="A4" s="22" t="s">
        <v>409</v>
      </c>
      <c r="B4" s="23" t="s">
        <v>404</v>
      </c>
      <c r="C4" s="23" t="s">
        <v>405</v>
      </c>
      <c r="D4" s="25">
        <v>997629</v>
      </c>
    </row>
    <row r="5" spans="1:4" x14ac:dyDescent="0.35">
      <c r="A5" s="22" t="s">
        <v>410</v>
      </c>
      <c r="B5" s="23" t="s">
        <v>404</v>
      </c>
      <c r="C5" s="23" t="s">
        <v>405</v>
      </c>
      <c r="D5" s="25" t="s">
        <v>411</v>
      </c>
    </row>
    <row r="6" spans="1:4" x14ac:dyDescent="0.35">
      <c r="A6" s="22" t="s">
        <v>412</v>
      </c>
      <c r="B6" s="23" t="s">
        <v>404</v>
      </c>
      <c r="C6" s="23" t="s">
        <v>405</v>
      </c>
      <c r="D6" s="25" t="s">
        <v>413</v>
      </c>
    </row>
    <row r="7" spans="1:4" x14ac:dyDescent="0.35">
      <c r="A7" s="22" t="s">
        <v>414</v>
      </c>
      <c r="B7" s="23" t="s">
        <v>404</v>
      </c>
      <c r="C7" s="23" t="s">
        <v>405</v>
      </c>
      <c r="D7" s="25" t="s">
        <v>413</v>
      </c>
    </row>
    <row r="8" spans="1:4" x14ac:dyDescent="0.35">
      <c r="A8" s="22" t="s">
        <v>415</v>
      </c>
      <c r="B8" s="23" t="s">
        <v>404</v>
      </c>
      <c r="C8" s="23" t="s">
        <v>405</v>
      </c>
      <c r="D8" s="25" t="s">
        <v>416</v>
      </c>
    </row>
    <row r="9" spans="1:4" x14ac:dyDescent="0.35">
      <c r="A9" s="22" t="s">
        <v>417</v>
      </c>
      <c r="B9" s="23" t="s">
        <v>404</v>
      </c>
      <c r="C9" s="23" t="s">
        <v>405</v>
      </c>
      <c r="D9" s="26" t="s">
        <v>418</v>
      </c>
    </row>
    <row r="10" spans="1:4" x14ac:dyDescent="0.35">
      <c r="A10" s="22" t="s">
        <v>419</v>
      </c>
      <c r="B10" s="23" t="s">
        <v>404</v>
      </c>
      <c r="C10" s="23" t="s">
        <v>405</v>
      </c>
      <c r="D10" s="26" t="s">
        <v>420</v>
      </c>
    </row>
    <row r="11" spans="1:4" x14ac:dyDescent="0.35">
      <c r="A11" s="22" t="s">
        <v>421</v>
      </c>
      <c r="B11" s="23" t="s">
        <v>404</v>
      </c>
      <c r="C11" s="23" t="s">
        <v>405</v>
      </c>
      <c r="D11" s="26" t="s">
        <v>422</v>
      </c>
    </row>
    <row r="12" spans="1:4" x14ac:dyDescent="0.35">
      <c r="A12" s="22" t="s">
        <v>423</v>
      </c>
      <c r="B12" s="23" t="s">
        <v>404</v>
      </c>
      <c r="C12" s="23" t="s">
        <v>405</v>
      </c>
      <c r="D12" s="26" t="s">
        <v>424</v>
      </c>
    </row>
    <row r="13" spans="1:4" x14ac:dyDescent="0.35">
      <c r="A13" s="22" t="s">
        <v>425</v>
      </c>
      <c r="B13" s="23" t="s">
        <v>404</v>
      </c>
      <c r="C13" s="23" t="s">
        <v>405</v>
      </c>
      <c r="D13" s="26" t="s">
        <v>426</v>
      </c>
    </row>
    <row r="14" spans="1:4" x14ac:dyDescent="0.35">
      <c r="A14" s="22" t="s">
        <v>427</v>
      </c>
      <c r="B14" s="23" t="s">
        <v>428</v>
      </c>
      <c r="C14" s="23" t="s">
        <v>405</v>
      </c>
      <c r="D14" s="26"/>
    </row>
    <row r="15" spans="1:4" x14ac:dyDescent="0.35">
      <c r="A15" s="22" t="s">
        <v>429</v>
      </c>
      <c r="B15" s="23" t="s">
        <v>46</v>
      </c>
      <c r="C15" s="23" t="s">
        <v>405</v>
      </c>
      <c r="D15" s="26" t="s">
        <v>430</v>
      </c>
    </row>
    <row r="16" spans="1:4" x14ac:dyDescent="0.35">
      <c r="A16" s="22" t="s">
        <v>431</v>
      </c>
      <c r="B16" s="23" t="s">
        <v>404</v>
      </c>
      <c r="C16" s="23" t="s">
        <v>405</v>
      </c>
      <c r="D16" s="27" t="s">
        <v>432</v>
      </c>
    </row>
    <row r="17" spans="1:4" x14ac:dyDescent="0.35">
      <c r="A17" s="22" t="s">
        <v>433</v>
      </c>
      <c r="B17" s="23" t="s">
        <v>46</v>
      </c>
      <c r="C17" s="23" t="s">
        <v>405</v>
      </c>
      <c r="D17" s="28">
        <v>92</v>
      </c>
    </row>
    <row r="18" spans="1:4" x14ac:dyDescent="0.35">
      <c r="A18" s="29" t="s">
        <v>434</v>
      </c>
      <c r="B18" s="23" t="s">
        <v>404</v>
      </c>
      <c r="C18" s="23" t="s">
        <v>405</v>
      </c>
      <c r="D18" s="27" t="s">
        <v>435</v>
      </c>
    </row>
    <row r="19" spans="1:4" x14ac:dyDescent="0.35">
      <c r="A19" s="22" t="s">
        <v>436</v>
      </c>
      <c r="B19" s="23" t="s">
        <v>404</v>
      </c>
      <c r="C19" s="23" t="s">
        <v>405</v>
      </c>
      <c r="D19" s="27">
        <v>0</v>
      </c>
    </row>
    <row r="20" spans="1:4" x14ac:dyDescent="0.35">
      <c r="A20" s="22" t="s">
        <v>437</v>
      </c>
      <c r="B20" s="23" t="s">
        <v>404</v>
      </c>
      <c r="C20" s="23" t="s">
        <v>405</v>
      </c>
      <c r="D20" s="27" t="s">
        <v>438</v>
      </c>
    </row>
    <row r="21" spans="1:4" x14ac:dyDescent="0.35">
      <c r="A21" s="22" t="s">
        <v>439</v>
      </c>
      <c r="B21" s="23" t="s">
        <v>440</v>
      </c>
      <c r="C21" s="23" t="s">
        <v>405</v>
      </c>
      <c r="D21" s="27">
        <v>19</v>
      </c>
    </row>
    <row r="22" spans="1:4" x14ac:dyDescent="0.35">
      <c r="A22" s="22" t="s">
        <v>37</v>
      </c>
      <c r="B22" s="23" t="s">
        <v>428</v>
      </c>
      <c r="C22" s="23" t="s">
        <v>405</v>
      </c>
      <c r="D22" s="27">
        <v>178355</v>
      </c>
    </row>
    <row r="23" spans="1:4" x14ac:dyDescent="0.35">
      <c r="A23" s="22" t="s">
        <v>441</v>
      </c>
      <c r="B23" s="23" t="s">
        <v>428</v>
      </c>
      <c r="C23" s="23" t="s">
        <v>405</v>
      </c>
      <c r="D23" s="27">
        <v>15809240</v>
      </c>
    </row>
    <row r="24" spans="1:4" x14ac:dyDescent="0.35">
      <c r="A24" s="22" t="s">
        <v>442</v>
      </c>
      <c r="B24" s="23" t="s">
        <v>428</v>
      </c>
      <c r="C24" s="23" t="s">
        <v>405</v>
      </c>
      <c r="D24" s="27">
        <v>15715013</v>
      </c>
    </row>
    <row r="25" spans="1:4" x14ac:dyDescent="0.35">
      <c r="A25" s="30" t="s">
        <v>443</v>
      </c>
      <c r="B25" s="23" t="s">
        <v>428</v>
      </c>
      <c r="C25" s="23"/>
      <c r="D25" s="31">
        <v>1.5715013</v>
      </c>
    </row>
    <row r="26" spans="1:4" x14ac:dyDescent="0.35">
      <c r="A26" s="32" t="s">
        <v>444</v>
      </c>
      <c r="B26" s="23" t="s">
        <v>46</v>
      </c>
      <c r="C26" s="23" t="s">
        <v>407</v>
      </c>
      <c r="D26" s="33">
        <v>45477</v>
      </c>
    </row>
    <row r="27" spans="1:4" x14ac:dyDescent="0.35">
      <c r="A27" s="22" t="s">
        <v>445</v>
      </c>
      <c r="B27" s="23" t="s">
        <v>404</v>
      </c>
      <c r="C27" s="23" t="s">
        <v>407</v>
      </c>
      <c r="D27" s="27" t="s">
        <v>446</v>
      </c>
    </row>
    <row r="28" spans="1:4" x14ac:dyDescent="0.35">
      <c r="A28" s="22" t="s">
        <v>447</v>
      </c>
      <c r="B28" s="23" t="s">
        <v>404</v>
      </c>
      <c r="C28" s="26" t="s">
        <v>405</v>
      </c>
      <c r="D28" s="26" t="s">
        <v>448</v>
      </c>
    </row>
    <row r="29" spans="1:4" x14ac:dyDescent="0.35">
      <c r="A29" s="22" t="s">
        <v>449</v>
      </c>
      <c r="B29" s="23" t="s">
        <v>404</v>
      </c>
      <c r="C29" s="26" t="s">
        <v>405</v>
      </c>
      <c r="D29" s="26" t="s">
        <v>450</v>
      </c>
    </row>
    <row r="30" spans="1:4" x14ac:dyDescent="0.35">
      <c r="A30" s="22" t="s">
        <v>451</v>
      </c>
      <c r="B30" s="23" t="s">
        <v>452</v>
      </c>
      <c r="C30" s="26" t="s">
        <v>405</v>
      </c>
      <c r="D30" s="26" t="s">
        <v>453</v>
      </c>
    </row>
    <row r="31" spans="1:4" x14ac:dyDescent="0.35">
      <c r="A31" s="22" t="s">
        <v>454</v>
      </c>
      <c r="B31" s="23" t="s">
        <v>428</v>
      </c>
      <c r="C31" s="26" t="s">
        <v>407</v>
      </c>
      <c r="D31" s="25">
        <v>15900000</v>
      </c>
    </row>
    <row r="32" spans="1:4" x14ac:dyDescent="0.35">
      <c r="A32" s="22" t="s">
        <v>455</v>
      </c>
      <c r="B32" s="23" t="s">
        <v>404</v>
      </c>
      <c r="C32" s="26" t="s">
        <v>405</v>
      </c>
      <c r="D32" s="26" t="s">
        <v>456</v>
      </c>
    </row>
    <row r="33" spans="1:4" x14ac:dyDescent="0.35">
      <c r="A33" s="22" t="s">
        <v>457</v>
      </c>
      <c r="B33" s="23" t="s">
        <v>404</v>
      </c>
      <c r="C33" s="26" t="s">
        <v>405</v>
      </c>
      <c r="D33" s="26" t="s">
        <v>458</v>
      </c>
    </row>
    <row r="34" spans="1:4" x14ac:dyDescent="0.35">
      <c r="A34" s="22" t="s">
        <v>459</v>
      </c>
      <c r="B34" s="23" t="s">
        <v>404</v>
      </c>
      <c r="C34" s="26" t="s">
        <v>405</v>
      </c>
      <c r="D34" s="26" t="s">
        <v>458</v>
      </c>
    </row>
    <row r="35" spans="1:4" x14ac:dyDescent="0.35">
      <c r="A35" s="34" t="s">
        <v>460</v>
      </c>
      <c r="B35" s="23" t="s">
        <v>46</v>
      </c>
      <c r="C35" s="26" t="s">
        <v>405</v>
      </c>
      <c r="D35" s="33">
        <v>45481</v>
      </c>
    </row>
    <row r="36" spans="1:4" x14ac:dyDescent="0.35">
      <c r="A36" s="22" t="s">
        <v>461</v>
      </c>
      <c r="B36" s="23" t="s">
        <v>428</v>
      </c>
      <c r="C36" s="26" t="s">
        <v>405</v>
      </c>
      <c r="D36" s="35">
        <v>17433887</v>
      </c>
    </row>
    <row r="37" spans="1:4" x14ac:dyDescent="0.35">
      <c r="A37" s="34" t="s">
        <v>462</v>
      </c>
      <c r="B37" s="23" t="s">
        <v>46</v>
      </c>
      <c r="C37" s="26" t="s">
        <v>405</v>
      </c>
      <c r="D37" s="33">
        <v>45477</v>
      </c>
    </row>
    <row r="38" spans="1:4" x14ac:dyDescent="0.35">
      <c r="A38" s="22" t="s">
        <v>463</v>
      </c>
      <c r="B38" s="23" t="s">
        <v>404</v>
      </c>
      <c r="C38" s="26" t="s">
        <v>405</v>
      </c>
      <c r="D38" s="36" t="s">
        <v>464</v>
      </c>
    </row>
    <row r="39" spans="1:4" x14ac:dyDescent="0.35">
      <c r="A39" s="34" t="s">
        <v>465</v>
      </c>
      <c r="B39" s="23" t="s">
        <v>46</v>
      </c>
      <c r="C39" s="26" t="s">
        <v>405</v>
      </c>
      <c r="D39" s="33">
        <v>45484</v>
      </c>
    </row>
    <row r="40" spans="1:4" x14ac:dyDescent="0.35">
      <c r="A40" s="22" t="s">
        <v>466</v>
      </c>
      <c r="B40" s="23" t="s">
        <v>404</v>
      </c>
      <c r="C40" s="26" t="s">
        <v>405</v>
      </c>
      <c r="D40" s="33" t="s">
        <v>467</v>
      </c>
    </row>
    <row r="41" spans="1:4" x14ac:dyDescent="0.35">
      <c r="A41" s="22" t="s">
        <v>468</v>
      </c>
      <c r="B41" s="23" t="s">
        <v>404</v>
      </c>
      <c r="C41" s="26" t="s">
        <v>405</v>
      </c>
      <c r="D41" s="33" t="s">
        <v>469</v>
      </c>
    </row>
    <row r="42" spans="1:4" x14ac:dyDescent="0.35">
      <c r="A42" s="34" t="s">
        <v>470</v>
      </c>
      <c r="B42" s="23" t="s">
        <v>46</v>
      </c>
      <c r="C42" s="26" t="s">
        <v>405</v>
      </c>
      <c r="D42" s="37">
        <f>D39+64</f>
        <v>45548</v>
      </c>
    </row>
    <row r="43" spans="1:4" x14ac:dyDescent="0.35">
      <c r="A43" s="34" t="s">
        <v>471</v>
      </c>
      <c r="B43" s="23" t="s">
        <v>404</v>
      </c>
      <c r="C43" s="26" t="s">
        <v>405</v>
      </c>
      <c r="D43" s="37">
        <f ca="1">+TODAY()</f>
        <v>45847</v>
      </c>
    </row>
    <row r="44" spans="1:4" x14ac:dyDescent="0.35">
      <c r="A44" s="34" t="s">
        <v>472</v>
      </c>
      <c r="B44" s="23" t="s">
        <v>404</v>
      </c>
      <c r="C44" s="26" t="s">
        <v>405</v>
      </c>
      <c r="D44" s="37">
        <f ca="1">D43-D39</f>
        <v>363</v>
      </c>
    </row>
    <row r="45" spans="1:4" x14ac:dyDescent="0.35">
      <c r="A45" s="34" t="s">
        <v>473</v>
      </c>
      <c r="B45" s="23" t="s">
        <v>46</v>
      </c>
      <c r="C45" s="26" t="s">
        <v>405</v>
      </c>
      <c r="D45" s="33" t="s">
        <v>456</v>
      </c>
    </row>
    <row r="46" spans="1:4" x14ac:dyDescent="0.35">
      <c r="A46" s="22" t="s">
        <v>474</v>
      </c>
      <c r="B46" s="23" t="s">
        <v>475</v>
      </c>
      <c r="C46" s="26" t="s">
        <v>405</v>
      </c>
      <c r="D46" s="38" t="s">
        <v>476</v>
      </c>
    </row>
    <row r="47" spans="1:4" x14ac:dyDescent="0.35">
      <c r="A47" s="22" t="s">
        <v>477</v>
      </c>
      <c r="B47" s="23" t="s">
        <v>46</v>
      </c>
      <c r="C47" s="26" t="s">
        <v>405</v>
      </c>
      <c r="D47" s="37">
        <v>45547</v>
      </c>
    </row>
    <row r="48" spans="1:4" x14ac:dyDescent="0.35">
      <c r="A48" s="22" t="s">
        <v>478</v>
      </c>
      <c r="B48" s="23" t="s">
        <v>404</v>
      </c>
      <c r="C48" s="26" t="s">
        <v>405</v>
      </c>
      <c r="D48" s="36" t="s">
        <v>479</v>
      </c>
    </row>
    <row r="49" spans="1:4" x14ac:dyDescent="0.35">
      <c r="A49" s="34" t="s">
        <v>480</v>
      </c>
      <c r="B49" s="23" t="s">
        <v>46</v>
      </c>
      <c r="C49" s="26" t="s">
        <v>405</v>
      </c>
      <c r="D49" s="33">
        <v>45549</v>
      </c>
    </row>
    <row r="50" spans="1:4" x14ac:dyDescent="0.35">
      <c r="A50" s="34" t="s">
        <v>481</v>
      </c>
      <c r="B50" s="23" t="s">
        <v>46</v>
      </c>
      <c r="C50" s="26" t="s">
        <v>405</v>
      </c>
      <c r="D50" s="33">
        <v>45552</v>
      </c>
    </row>
    <row r="51" spans="1:4" x14ac:dyDescent="0.35">
      <c r="A51" s="22" t="s">
        <v>482</v>
      </c>
      <c r="B51" s="23" t="s">
        <v>404</v>
      </c>
      <c r="C51" s="26" t="s">
        <v>405</v>
      </c>
      <c r="D51" s="33" t="s">
        <v>467</v>
      </c>
    </row>
    <row r="52" spans="1:4" x14ac:dyDescent="0.35">
      <c r="A52" s="22" t="s">
        <v>483</v>
      </c>
      <c r="B52" s="23" t="s">
        <v>404</v>
      </c>
      <c r="C52" s="26" t="s">
        <v>405</v>
      </c>
      <c r="D52" s="33" t="s">
        <v>469</v>
      </c>
    </row>
    <row r="53" spans="1:4" x14ac:dyDescent="0.35">
      <c r="A53" s="22" t="s">
        <v>484</v>
      </c>
      <c r="B53" s="23" t="s">
        <v>440</v>
      </c>
      <c r="C53" s="26" t="s">
        <v>405</v>
      </c>
      <c r="D53" s="39">
        <f ca="1">D43-D47</f>
        <v>300</v>
      </c>
    </row>
    <row r="54" spans="1:4" x14ac:dyDescent="0.35">
      <c r="A54" s="22" t="s">
        <v>485</v>
      </c>
      <c r="B54" s="23" t="s">
        <v>404</v>
      </c>
      <c r="C54" s="26" t="s">
        <v>405</v>
      </c>
      <c r="D54" s="26" t="s">
        <v>486</v>
      </c>
    </row>
    <row r="55" spans="1:4" x14ac:dyDescent="0.35">
      <c r="A55" s="34" t="s">
        <v>487</v>
      </c>
      <c r="B55" s="23" t="s">
        <v>46</v>
      </c>
      <c r="C55" s="26" t="s">
        <v>405</v>
      </c>
      <c r="D55" s="33"/>
    </row>
    <row r="56" spans="1:4" x14ac:dyDescent="0.35">
      <c r="A56" s="34" t="s">
        <v>488</v>
      </c>
      <c r="B56" s="23" t="s">
        <v>46</v>
      </c>
      <c r="C56" s="26" t="s">
        <v>405</v>
      </c>
      <c r="D56" s="33">
        <v>45560</v>
      </c>
    </row>
    <row r="57" spans="1:4" x14ac:dyDescent="0.35">
      <c r="A57" s="22" t="s">
        <v>489</v>
      </c>
      <c r="B57" s="23" t="s">
        <v>404</v>
      </c>
      <c r="C57" s="26" t="s">
        <v>405</v>
      </c>
      <c r="D57" s="26" t="s">
        <v>490</v>
      </c>
    </row>
    <row r="58" spans="1:4" x14ac:dyDescent="0.35">
      <c r="A58" s="22" t="s">
        <v>491</v>
      </c>
      <c r="B58" s="23" t="s">
        <v>404</v>
      </c>
      <c r="C58" s="26" t="s">
        <v>405</v>
      </c>
      <c r="D58" s="26" t="s">
        <v>492</v>
      </c>
    </row>
    <row r="59" spans="1:4" x14ac:dyDescent="0.35">
      <c r="A59" s="22" t="s">
        <v>493</v>
      </c>
      <c r="B59" s="23" t="s">
        <v>46</v>
      </c>
      <c r="C59" s="26" t="s">
        <v>405</v>
      </c>
      <c r="D59" s="26"/>
    </row>
    <row r="60" spans="1:4" x14ac:dyDescent="0.35">
      <c r="A60" s="34" t="s">
        <v>494</v>
      </c>
      <c r="B60" s="23" t="s">
        <v>46</v>
      </c>
      <c r="C60" s="26" t="s">
        <v>405</v>
      </c>
      <c r="D60" s="33"/>
    </row>
    <row r="61" spans="1:4" x14ac:dyDescent="0.35">
      <c r="A61" s="22" t="s">
        <v>495</v>
      </c>
      <c r="B61" s="23" t="s">
        <v>496</v>
      </c>
      <c r="C61" s="26" t="s">
        <v>405</v>
      </c>
      <c r="D61" s="38">
        <f ca="1">D43-D56</f>
        <v>287</v>
      </c>
    </row>
    <row r="62" spans="1:4" x14ac:dyDescent="0.35">
      <c r="A62" s="34" t="s">
        <v>497</v>
      </c>
      <c r="B62" s="23" t="s">
        <v>46</v>
      </c>
      <c r="C62" s="26" t="s">
        <v>405</v>
      </c>
      <c r="D62" s="33"/>
    </row>
    <row r="63" spans="1:4" x14ac:dyDescent="0.35">
      <c r="A63" s="34" t="s">
        <v>498</v>
      </c>
      <c r="B63" s="23" t="s">
        <v>46</v>
      </c>
      <c r="C63" s="26" t="s">
        <v>405</v>
      </c>
      <c r="D63" s="33"/>
    </row>
    <row r="64" spans="1:4" x14ac:dyDescent="0.35">
      <c r="A64" s="40" t="s">
        <v>499</v>
      </c>
      <c r="B64" s="23" t="s">
        <v>46</v>
      </c>
      <c r="C64" s="26" t="s">
        <v>405</v>
      </c>
      <c r="D64" s="26"/>
    </row>
    <row r="65" spans="1:4" x14ac:dyDescent="0.35">
      <c r="A65" s="22" t="s">
        <v>500</v>
      </c>
      <c r="B65" s="23" t="s">
        <v>428</v>
      </c>
      <c r="C65" s="26" t="s">
        <v>405</v>
      </c>
      <c r="D65" s="35"/>
    </row>
    <row r="66" spans="1:4" x14ac:dyDescent="0.35">
      <c r="A66" s="34" t="s">
        <v>501</v>
      </c>
      <c r="B66" s="23" t="s">
        <v>46</v>
      </c>
      <c r="C66" s="26" t="s">
        <v>405</v>
      </c>
      <c r="D66" s="33"/>
    </row>
    <row r="67" spans="1:4" x14ac:dyDescent="0.35">
      <c r="A67" s="34" t="s">
        <v>502</v>
      </c>
      <c r="B67" s="23" t="s">
        <v>404</v>
      </c>
      <c r="C67" s="26" t="s">
        <v>405</v>
      </c>
      <c r="D67" s="33"/>
    </row>
    <row r="68" spans="1:4" x14ac:dyDescent="0.35">
      <c r="A68" s="22" t="s">
        <v>503</v>
      </c>
      <c r="B68" s="23" t="s">
        <v>404</v>
      </c>
      <c r="C68" s="26" t="s">
        <v>405</v>
      </c>
      <c r="D68" s="33"/>
    </row>
    <row r="69" spans="1:4" x14ac:dyDescent="0.35">
      <c r="A69" s="22" t="s">
        <v>504</v>
      </c>
      <c r="B69" s="23" t="s">
        <v>46</v>
      </c>
      <c r="C69" s="26" t="s">
        <v>405</v>
      </c>
      <c r="D69" s="33"/>
    </row>
    <row r="70" spans="1:4" x14ac:dyDescent="0.35">
      <c r="A70" s="34" t="s">
        <v>505</v>
      </c>
      <c r="B70" s="23" t="s">
        <v>46</v>
      </c>
      <c r="C70" s="26" t="s">
        <v>405</v>
      </c>
      <c r="D70" s="33"/>
    </row>
    <row r="71" spans="1:4" x14ac:dyDescent="0.35">
      <c r="A71" s="34" t="s">
        <v>506</v>
      </c>
      <c r="B71" s="23" t="s">
        <v>46</v>
      </c>
      <c r="C71" s="26" t="s">
        <v>405</v>
      </c>
      <c r="D71" s="33"/>
    </row>
    <row r="72" spans="1:4" x14ac:dyDescent="0.35">
      <c r="A72" s="22" t="s">
        <v>507</v>
      </c>
      <c r="B72" s="23" t="s">
        <v>404</v>
      </c>
      <c r="C72" s="26" t="s">
        <v>405</v>
      </c>
      <c r="D72" s="26"/>
    </row>
    <row r="73" spans="1:4" x14ac:dyDescent="0.35">
      <c r="A73" s="22" t="s">
        <v>508</v>
      </c>
      <c r="B73" s="23" t="s">
        <v>404</v>
      </c>
      <c r="C73" s="26" t="s">
        <v>405</v>
      </c>
      <c r="D73" s="26"/>
    </row>
    <row r="74" spans="1:4" x14ac:dyDescent="0.35">
      <c r="A74" s="22" t="s">
        <v>509</v>
      </c>
      <c r="B74" s="23" t="s">
        <v>404</v>
      </c>
      <c r="C74" s="26" t="s">
        <v>405</v>
      </c>
      <c r="D74" s="36"/>
    </row>
    <row r="75" spans="1:4" x14ac:dyDescent="0.35">
      <c r="A75" s="34" t="s">
        <v>510</v>
      </c>
      <c r="B75" s="23" t="s">
        <v>46</v>
      </c>
      <c r="C75" s="26" t="s">
        <v>405</v>
      </c>
      <c r="D75" s="33"/>
    </row>
    <row r="76" spans="1:4" x14ac:dyDescent="0.35">
      <c r="A76" s="22" t="s">
        <v>511</v>
      </c>
      <c r="B76" s="23" t="s">
        <v>428</v>
      </c>
      <c r="C76" s="26" t="s">
        <v>405</v>
      </c>
      <c r="D76" s="35"/>
    </row>
    <row r="77" spans="1:4" x14ac:dyDescent="0.35">
      <c r="A77" s="22" t="s">
        <v>512</v>
      </c>
      <c r="B77" s="23" t="s">
        <v>428</v>
      </c>
      <c r="C77" s="26" t="s">
        <v>405</v>
      </c>
      <c r="D77" s="26"/>
    </row>
    <row r="78" spans="1:4" x14ac:dyDescent="0.35">
      <c r="A78" s="41" t="s">
        <v>513</v>
      </c>
      <c r="B78" s="23" t="s">
        <v>404</v>
      </c>
      <c r="C78" s="26" t="s">
        <v>405</v>
      </c>
      <c r="D78" s="33"/>
    </row>
    <row r="79" spans="1:4" x14ac:dyDescent="0.35">
      <c r="A79" s="22" t="s">
        <v>514</v>
      </c>
      <c r="B79" s="23" t="s">
        <v>440</v>
      </c>
      <c r="C79" s="26" t="s">
        <v>405</v>
      </c>
      <c r="D79" s="42">
        <f ca="1">D43-D78</f>
        <v>45847</v>
      </c>
    </row>
    <row r="80" spans="1:4" x14ac:dyDescent="0.35">
      <c r="A80" s="34" t="s">
        <v>515</v>
      </c>
      <c r="B80" s="23" t="s">
        <v>46</v>
      </c>
      <c r="C80" s="26" t="s">
        <v>405</v>
      </c>
      <c r="D80" s="33"/>
    </row>
    <row r="81" spans="1:4" x14ac:dyDescent="0.35">
      <c r="A81" s="22" t="s">
        <v>516</v>
      </c>
      <c r="B81" s="23" t="s">
        <v>404</v>
      </c>
      <c r="C81" s="26" t="s">
        <v>405</v>
      </c>
      <c r="D81" s="26"/>
    </row>
    <row r="82" spans="1:4" x14ac:dyDescent="0.35">
      <c r="A82" s="22" t="s">
        <v>517</v>
      </c>
      <c r="B82" s="23" t="s">
        <v>404</v>
      </c>
      <c r="C82" s="26" t="s">
        <v>405</v>
      </c>
      <c r="D82" s="26"/>
    </row>
    <row r="83" spans="1:4" x14ac:dyDescent="0.35">
      <c r="A83" s="34" t="s">
        <v>518</v>
      </c>
      <c r="B83" s="23" t="s">
        <v>46</v>
      </c>
      <c r="C83" s="26" t="s">
        <v>405</v>
      </c>
      <c r="D83" s="33"/>
    </row>
    <row r="84" spans="1:4" x14ac:dyDescent="0.35">
      <c r="A84" s="22" t="s">
        <v>519</v>
      </c>
      <c r="B84" s="23" t="s">
        <v>520</v>
      </c>
      <c r="C84" s="26" t="s">
        <v>405</v>
      </c>
      <c r="D84" s="35"/>
    </row>
    <row r="85" spans="1:4" x14ac:dyDescent="0.35">
      <c r="A85" s="34" t="s">
        <v>521</v>
      </c>
      <c r="B85" s="23" t="s">
        <v>404</v>
      </c>
      <c r="C85" s="26" t="s">
        <v>405</v>
      </c>
      <c r="D85" s="33"/>
    </row>
    <row r="86" spans="1:4" x14ac:dyDescent="0.35">
      <c r="A86" s="34" t="s">
        <v>522</v>
      </c>
      <c r="B86" s="23" t="s">
        <v>46</v>
      </c>
      <c r="C86" s="26" t="s">
        <v>405</v>
      </c>
      <c r="D86" s="33"/>
    </row>
    <row r="87" spans="1:4" x14ac:dyDescent="0.35">
      <c r="A87" s="22" t="s">
        <v>523</v>
      </c>
      <c r="B87" s="23" t="s">
        <v>404</v>
      </c>
      <c r="C87" s="26" t="s">
        <v>405</v>
      </c>
      <c r="D87" s="26"/>
    </row>
    <row r="88" spans="1:4" x14ac:dyDescent="0.35">
      <c r="A88" s="22" t="s">
        <v>524</v>
      </c>
      <c r="B88" s="23" t="s">
        <v>404</v>
      </c>
      <c r="C88" s="26" t="s">
        <v>405</v>
      </c>
      <c r="D88" s="26"/>
    </row>
    <row r="89" spans="1:4" x14ac:dyDescent="0.35">
      <c r="A89" s="43" t="s">
        <v>525</v>
      </c>
      <c r="B89" s="23" t="s">
        <v>46</v>
      </c>
      <c r="C89" s="26" t="s">
        <v>405</v>
      </c>
      <c r="D89" s="33"/>
    </row>
    <row r="90" spans="1:4" x14ac:dyDescent="0.35">
      <c r="A90" s="44" t="s">
        <v>526</v>
      </c>
      <c r="B90" s="23" t="s">
        <v>428</v>
      </c>
      <c r="C90" s="26" t="s">
        <v>405</v>
      </c>
      <c r="D90" s="26"/>
    </row>
    <row r="91" spans="1:4" x14ac:dyDescent="0.35">
      <c r="A91" s="44" t="s">
        <v>527</v>
      </c>
      <c r="B91" s="23" t="s">
        <v>404</v>
      </c>
      <c r="C91" s="26" t="s">
        <v>405</v>
      </c>
      <c r="D91" s="26"/>
    </row>
    <row r="92" spans="1:4" x14ac:dyDescent="0.35">
      <c r="A92" s="44" t="s">
        <v>528</v>
      </c>
      <c r="B92" s="23" t="s">
        <v>46</v>
      </c>
      <c r="C92" s="26" t="s">
        <v>405</v>
      </c>
      <c r="D92" s="26"/>
    </row>
    <row r="93" spans="1:4" x14ac:dyDescent="0.35">
      <c r="A93" s="44" t="s">
        <v>529</v>
      </c>
      <c r="B93" s="23" t="s">
        <v>404</v>
      </c>
      <c r="C93" s="26" t="s">
        <v>405</v>
      </c>
      <c r="D93" s="26"/>
    </row>
    <row r="94" spans="1:4" x14ac:dyDescent="0.35">
      <c r="A94" s="44" t="s">
        <v>530</v>
      </c>
      <c r="B94" s="23" t="s">
        <v>404</v>
      </c>
      <c r="C94" s="26" t="s">
        <v>405</v>
      </c>
      <c r="D94" s="26"/>
    </row>
    <row r="95" spans="1:4" x14ac:dyDescent="0.35">
      <c r="A95" s="22" t="s">
        <v>531</v>
      </c>
      <c r="B95" s="23" t="s">
        <v>46</v>
      </c>
      <c r="C95" s="26" t="s">
        <v>405</v>
      </c>
      <c r="D95" s="45"/>
    </row>
    <row r="96" spans="1:4" x14ac:dyDescent="0.35">
      <c r="A96" s="22" t="s">
        <v>532</v>
      </c>
      <c r="B96" s="23" t="s">
        <v>428</v>
      </c>
      <c r="C96" s="26" t="s">
        <v>405</v>
      </c>
      <c r="D96" s="46"/>
    </row>
    <row r="97" spans="1:4" x14ac:dyDescent="0.35">
      <c r="A97" s="22" t="s">
        <v>533</v>
      </c>
      <c r="B97" s="23" t="s">
        <v>404</v>
      </c>
      <c r="C97" s="26" t="s">
        <v>405</v>
      </c>
      <c r="D97" s="36"/>
    </row>
    <row r="98" spans="1:4" x14ac:dyDescent="0.35">
      <c r="A98" s="40" t="s">
        <v>534</v>
      </c>
      <c r="B98" s="23" t="s">
        <v>46</v>
      </c>
      <c r="C98" s="26" t="s">
        <v>405</v>
      </c>
      <c r="D98" s="26"/>
    </row>
    <row r="99" spans="1:4" x14ac:dyDescent="0.35">
      <c r="A99" s="22" t="s">
        <v>535</v>
      </c>
      <c r="B99" s="23" t="s">
        <v>428</v>
      </c>
      <c r="C99" s="26" t="s">
        <v>405</v>
      </c>
      <c r="D99" s="26"/>
    </row>
    <row r="100" spans="1:4" x14ac:dyDescent="0.35">
      <c r="A100" s="22" t="s">
        <v>536</v>
      </c>
      <c r="B100" s="23" t="s">
        <v>428</v>
      </c>
      <c r="C100" s="26" t="s">
        <v>405</v>
      </c>
      <c r="D100" s="26"/>
    </row>
    <row r="101" spans="1:4" x14ac:dyDescent="0.35">
      <c r="A101" s="22" t="s">
        <v>537</v>
      </c>
      <c r="B101" s="23" t="s">
        <v>404</v>
      </c>
      <c r="C101" s="26" t="s">
        <v>405</v>
      </c>
      <c r="D101" s="26"/>
    </row>
    <row r="102" spans="1:4" x14ac:dyDescent="0.35">
      <c r="A102" s="22" t="s">
        <v>538</v>
      </c>
      <c r="B102" s="23" t="s">
        <v>46</v>
      </c>
      <c r="C102" s="26" t="s">
        <v>405</v>
      </c>
      <c r="D102" s="26"/>
    </row>
    <row r="103" spans="1:4" x14ac:dyDescent="0.35">
      <c r="A103" s="22" t="s">
        <v>539</v>
      </c>
      <c r="B103" s="23" t="s">
        <v>404</v>
      </c>
      <c r="C103" s="26" t="s">
        <v>405</v>
      </c>
      <c r="D103" s="26"/>
    </row>
    <row r="104" spans="1:4" x14ac:dyDescent="0.35">
      <c r="A104" s="22" t="s">
        <v>540</v>
      </c>
      <c r="B104" s="23" t="s">
        <v>404</v>
      </c>
      <c r="C104" s="26" t="s">
        <v>405</v>
      </c>
      <c r="D104" s="26"/>
    </row>
    <row r="105" spans="1:4" x14ac:dyDescent="0.35">
      <c r="A105" s="22" t="s">
        <v>541</v>
      </c>
      <c r="B105" s="23" t="s">
        <v>46</v>
      </c>
      <c r="C105" s="26" t="s">
        <v>405</v>
      </c>
      <c r="D105" s="35"/>
    </row>
    <row r="106" spans="1:4" x14ac:dyDescent="0.35">
      <c r="A106" s="22" t="s">
        <v>542</v>
      </c>
      <c r="B106" s="23" t="s">
        <v>428</v>
      </c>
      <c r="C106" s="26" t="s">
        <v>405</v>
      </c>
      <c r="D106" s="26"/>
    </row>
    <row r="107" spans="1:4" x14ac:dyDescent="0.35">
      <c r="A107" s="22" t="s">
        <v>543</v>
      </c>
      <c r="B107" s="23" t="s">
        <v>404</v>
      </c>
      <c r="C107" s="26" t="s">
        <v>405</v>
      </c>
      <c r="D107" s="26"/>
    </row>
    <row r="108" spans="1:4" x14ac:dyDescent="0.35">
      <c r="A108" s="22" t="s">
        <v>544</v>
      </c>
      <c r="B108" s="23" t="s">
        <v>46</v>
      </c>
      <c r="C108" s="26" t="s">
        <v>405</v>
      </c>
      <c r="D108" s="26"/>
    </row>
    <row r="109" spans="1:4" x14ac:dyDescent="0.35">
      <c r="A109" s="22" t="s">
        <v>545</v>
      </c>
      <c r="B109" s="23" t="s">
        <v>404</v>
      </c>
      <c r="C109" s="26" t="s">
        <v>405</v>
      </c>
      <c r="D109" s="26"/>
    </row>
    <row r="110" spans="1:4" x14ac:dyDescent="0.35">
      <c r="A110" s="22" t="s">
        <v>546</v>
      </c>
      <c r="B110" s="23" t="s">
        <v>404</v>
      </c>
      <c r="C110" s="26" t="s">
        <v>405</v>
      </c>
      <c r="D110" s="26"/>
    </row>
    <row r="111" spans="1:4" x14ac:dyDescent="0.35">
      <c r="A111" s="34" t="s">
        <v>547</v>
      </c>
      <c r="B111" s="23" t="s">
        <v>46</v>
      </c>
      <c r="C111" s="26" t="s">
        <v>405</v>
      </c>
      <c r="D111" s="33"/>
    </row>
    <row r="112" spans="1:4" x14ac:dyDescent="0.35">
      <c r="A112" s="22" t="s">
        <v>548</v>
      </c>
      <c r="B112" s="23" t="s">
        <v>428</v>
      </c>
      <c r="C112" s="26" t="s">
        <v>405</v>
      </c>
      <c r="D112" s="36"/>
    </row>
    <row r="113" spans="1:4" x14ac:dyDescent="0.35">
      <c r="A113" s="40" t="s">
        <v>549</v>
      </c>
      <c r="B113" s="23" t="s">
        <v>404</v>
      </c>
      <c r="C113" s="26" t="s">
        <v>405</v>
      </c>
      <c r="D113" s="36"/>
    </row>
    <row r="114" spans="1:4" x14ac:dyDescent="0.35">
      <c r="A114" s="40" t="s">
        <v>550</v>
      </c>
      <c r="B114" s="23" t="s">
        <v>46</v>
      </c>
      <c r="C114" s="26" t="s">
        <v>405</v>
      </c>
      <c r="D114" s="26"/>
    </row>
    <row r="115" spans="1:4" x14ac:dyDescent="0.35">
      <c r="A115" s="22" t="s">
        <v>551</v>
      </c>
      <c r="B115" s="23" t="s">
        <v>404</v>
      </c>
      <c r="C115" s="26" t="s">
        <v>405</v>
      </c>
      <c r="D115" s="26"/>
    </row>
    <row r="116" spans="1:4" x14ac:dyDescent="0.35">
      <c r="A116" s="22" t="s">
        <v>552</v>
      </c>
      <c r="B116" s="23" t="s">
        <v>404</v>
      </c>
      <c r="C116" s="26" t="s">
        <v>405</v>
      </c>
      <c r="D116" s="36"/>
    </row>
    <row r="117" spans="1:4" x14ac:dyDescent="0.35">
      <c r="A117" s="40" t="s">
        <v>553</v>
      </c>
      <c r="B117" s="23" t="s">
        <v>46</v>
      </c>
      <c r="C117" s="26" t="s">
        <v>405</v>
      </c>
      <c r="D117" s="47"/>
    </row>
    <row r="118" spans="1:4" x14ac:dyDescent="0.35">
      <c r="A118" s="22" t="s">
        <v>554</v>
      </c>
      <c r="B118" s="23" t="s">
        <v>428</v>
      </c>
      <c r="C118" s="26" t="s">
        <v>405</v>
      </c>
      <c r="D118" s="38"/>
    </row>
    <row r="119" spans="1:4" x14ac:dyDescent="0.35">
      <c r="A119" s="40" t="s">
        <v>555</v>
      </c>
      <c r="B119" s="23" t="s">
        <v>404</v>
      </c>
      <c r="C119" s="26" t="s">
        <v>405</v>
      </c>
      <c r="D119" s="26"/>
    </row>
    <row r="120" spans="1:4" x14ac:dyDescent="0.35">
      <c r="A120" s="40" t="s">
        <v>556</v>
      </c>
      <c r="B120" s="23" t="s">
        <v>46</v>
      </c>
      <c r="C120" s="26" t="s">
        <v>405</v>
      </c>
      <c r="D120" s="26"/>
    </row>
    <row r="121" spans="1:4" x14ac:dyDescent="0.35">
      <c r="A121" s="22" t="s">
        <v>557</v>
      </c>
      <c r="B121" s="23" t="s">
        <v>404</v>
      </c>
      <c r="C121" s="26" t="s">
        <v>405</v>
      </c>
      <c r="D121" s="26"/>
    </row>
    <row r="122" spans="1:4" x14ac:dyDescent="0.35">
      <c r="A122" s="22" t="s">
        <v>558</v>
      </c>
      <c r="B122" s="23" t="s">
        <v>404</v>
      </c>
      <c r="C122" s="26" t="s">
        <v>405</v>
      </c>
      <c r="D122" s="26"/>
    </row>
    <row r="123" spans="1:4" x14ac:dyDescent="0.35">
      <c r="A123" s="40" t="s">
        <v>559</v>
      </c>
      <c r="B123" s="23" t="s">
        <v>46</v>
      </c>
      <c r="C123" s="26" t="s">
        <v>405</v>
      </c>
      <c r="D123" s="38"/>
    </row>
    <row r="124" spans="1:4" x14ac:dyDescent="0.35">
      <c r="A124" s="22" t="s">
        <v>560</v>
      </c>
      <c r="B124" s="23" t="s">
        <v>428</v>
      </c>
      <c r="C124" s="26" t="s">
        <v>405</v>
      </c>
      <c r="D124" s="38"/>
    </row>
    <row r="125" spans="1:4" x14ac:dyDescent="0.35">
      <c r="A125" s="40" t="s">
        <v>561</v>
      </c>
      <c r="B125" s="23" t="s">
        <v>404</v>
      </c>
      <c r="C125" s="26" t="s">
        <v>405</v>
      </c>
      <c r="D125" s="26"/>
    </row>
    <row r="126" spans="1:4" x14ac:dyDescent="0.35">
      <c r="A126" s="40" t="s">
        <v>562</v>
      </c>
      <c r="B126" s="23" t="s">
        <v>46</v>
      </c>
      <c r="C126" s="26" t="s">
        <v>405</v>
      </c>
      <c r="D126" s="26"/>
    </row>
    <row r="127" spans="1:4" x14ac:dyDescent="0.35">
      <c r="A127" s="22" t="s">
        <v>563</v>
      </c>
      <c r="B127" s="23" t="s">
        <v>404</v>
      </c>
      <c r="C127" s="26" t="s">
        <v>405</v>
      </c>
      <c r="D127" s="26"/>
    </row>
    <row r="128" spans="1:4" x14ac:dyDescent="0.35">
      <c r="A128" s="22" t="s">
        <v>564</v>
      </c>
      <c r="B128" s="23" t="s">
        <v>404</v>
      </c>
      <c r="C128" s="26" t="s">
        <v>405</v>
      </c>
      <c r="D128" s="26"/>
    </row>
    <row r="129" spans="1:4" x14ac:dyDescent="0.35">
      <c r="A129" s="40" t="s">
        <v>565</v>
      </c>
      <c r="B129" s="23" t="s">
        <v>46</v>
      </c>
      <c r="C129" s="26" t="s">
        <v>405</v>
      </c>
      <c r="D129" s="26"/>
    </row>
    <row r="130" spans="1:4" x14ac:dyDescent="0.35">
      <c r="A130" s="22" t="s">
        <v>566</v>
      </c>
      <c r="B130" s="23" t="s">
        <v>428</v>
      </c>
      <c r="C130" s="26" t="s">
        <v>405</v>
      </c>
      <c r="D130" s="26"/>
    </row>
    <row r="131" spans="1:4" x14ac:dyDescent="0.35">
      <c r="A131" s="22" t="s">
        <v>567</v>
      </c>
      <c r="B131" s="23" t="s">
        <v>404</v>
      </c>
      <c r="C131" s="26" t="s">
        <v>405</v>
      </c>
      <c r="D131" s="26"/>
    </row>
    <row r="132" spans="1:4" x14ac:dyDescent="0.35">
      <c r="A132" s="34" t="s">
        <v>568</v>
      </c>
      <c r="B132" s="23" t="s">
        <v>46</v>
      </c>
      <c r="C132" s="26" t="s">
        <v>405</v>
      </c>
      <c r="D132" s="33"/>
    </row>
    <row r="133" spans="1:4" x14ac:dyDescent="0.35">
      <c r="A133" s="34" t="s">
        <v>569</v>
      </c>
      <c r="B133" s="23" t="s">
        <v>46</v>
      </c>
      <c r="C133" s="26" t="s">
        <v>405</v>
      </c>
      <c r="D133" s="33"/>
    </row>
    <row r="134" spans="1:4" x14ac:dyDescent="0.35">
      <c r="A134" s="22" t="s">
        <v>570</v>
      </c>
      <c r="B134" s="23" t="s">
        <v>428</v>
      </c>
      <c r="C134" s="26" t="s">
        <v>405</v>
      </c>
      <c r="D134" s="26"/>
    </row>
    <row r="135" spans="1:4" x14ac:dyDescent="0.35">
      <c r="A135" s="22" t="s">
        <v>571</v>
      </c>
      <c r="B135" s="23" t="s">
        <v>404</v>
      </c>
      <c r="C135" s="26" t="s">
        <v>405</v>
      </c>
      <c r="D135" s="26"/>
    </row>
    <row r="136" spans="1:4" x14ac:dyDescent="0.35">
      <c r="A136" s="34" t="s">
        <v>572</v>
      </c>
      <c r="B136" s="23" t="s">
        <v>46</v>
      </c>
      <c r="C136" s="26" t="s">
        <v>405</v>
      </c>
      <c r="D136" s="33"/>
    </row>
    <row r="137" spans="1:4" x14ac:dyDescent="0.35">
      <c r="A137" s="22" t="s">
        <v>573</v>
      </c>
      <c r="B137" s="23" t="s">
        <v>404</v>
      </c>
      <c r="C137" s="26" t="s">
        <v>405</v>
      </c>
      <c r="D137" s="26"/>
    </row>
    <row r="138" spans="1:4" x14ac:dyDescent="0.35">
      <c r="A138" s="22" t="s">
        <v>574</v>
      </c>
      <c r="B138" s="23" t="s">
        <v>404</v>
      </c>
      <c r="C138" s="26" t="s">
        <v>405</v>
      </c>
      <c r="D138" s="26"/>
    </row>
    <row r="139" spans="1:4" x14ac:dyDescent="0.35">
      <c r="A139" s="22" t="s">
        <v>575</v>
      </c>
      <c r="B139" s="23" t="s">
        <v>404</v>
      </c>
      <c r="C139" s="26" t="s">
        <v>405</v>
      </c>
      <c r="D139" s="27" t="s">
        <v>576</v>
      </c>
    </row>
    <row r="140" spans="1:4" x14ac:dyDescent="0.35">
      <c r="A140" s="22" t="s">
        <v>577</v>
      </c>
      <c r="B140" s="23" t="s">
        <v>404</v>
      </c>
      <c r="C140" s="26" t="s">
        <v>405</v>
      </c>
      <c r="D140" s="26"/>
    </row>
  </sheetData>
  <conditionalFormatting sqref="D4">
    <cfRule type="duplicateValues" dxfId="17" priority="2"/>
  </conditionalFormatting>
  <conditionalFormatting sqref="D4">
    <cfRule type="duplicateValues" dxfId="16" priority="3"/>
  </conditionalFormatting>
  <conditionalFormatting sqref="A4">
    <cfRule type="duplicateValues" dxfId="15" priority="1"/>
  </conditionalFormatting>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workbookViewId="0">
      <selection activeCell="C13" sqref="C13"/>
    </sheetView>
  </sheetViews>
  <sheetFormatPr defaultColWidth="29.6328125" defaultRowHeight="14.5" x14ac:dyDescent="0.35"/>
  <sheetData>
    <row r="1" spans="1:4" x14ac:dyDescent="0.35">
      <c r="A1" s="1" t="s">
        <v>578</v>
      </c>
      <c r="B1" s="1" t="s">
        <v>401</v>
      </c>
      <c r="C1" s="1" t="s">
        <v>402</v>
      </c>
      <c r="D1" s="1" t="s">
        <v>126</v>
      </c>
    </row>
    <row r="2" spans="1:4" x14ac:dyDescent="0.35">
      <c r="A2" s="48" t="s">
        <v>24</v>
      </c>
      <c r="B2" s="48" t="s">
        <v>404</v>
      </c>
      <c r="C2" s="48" t="s">
        <v>405</v>
      </c>
      <c r="D2" s="49" t="s">
        <v>579</v>
      </c>
    </row>
    <row r="3" spans="1:4" x14ac:dyDescent="0.35">
      <c r="A3" s="48" t="s">
        <v>80</v>
      </c>
      <c r="B3" s="48" t="s">
        <v>404</v>
      </c>
      <c r="C3" s="48" t="s">
        <v>405</v>
      </c>
      <c r="D3" s="50">
        <v>171210700614266</v>
      </c>
    </row>
    <row r="4" spans="1:4" x14ac:dyDescent="0.35">
      <c r="A4" s="48" t="s">
        <v>580</v>
      </c>
      <c r="B4" s="48" t="s">
        <v>404</v>
      </c>
      <c r="C4" s="48" t="s">
        <v>405</v>
      </c>
      <c r="D4" s="50">
        <v>332611</v>
      </c>
    </row>
    <row r="5" spans="1:4" x14ac:dyDescent="0.35">
      <c r="A5" s="48" t="s">
        <v>7</v>
      </c>
      <c r="B5" s="48" t="s">
        <v>404</v>
      </c>
      <c r="C5" s="48" t="s">
        <v>405</v>
      </c>
      <c r="D5" s="49" t="s">
        <v>581</v>
      </c>
    </row>
    <row r="6" spans="1:4" x14ac:dyDescent="0.35">
      <c r="A6" s="48" t="s">
        <v>34</v>
      </c>
      <c r="B6" s="48" t="s">
        <v>404</v>
      </c>
      <c r="C6" s="48" t="s">
        <v>405</v>
      </c>
      <c r="D6" s="49" t="s">
        <v>582</v>
      </c>
    </row>
    <row r="7" spans="1:4" x14ac:dyDescent="0.35">
      <c r="A7" s="48" t="s">
        <v>22</v>
      </c>
      <c r="B7" s="48" t="s">
        <v>404</v>
      </c>
      <c r="C7" s="48" t="s">
        <v>405</v>
      </c>
      <c r="D7" s="49" t="s">
        <v>583</v>
      </c>
    </row>
    <row r="8" spans="1:4" x14ac:dyDescent="0.35">
      <c r="A8" s="48" t="s">
        <v>584</v>
      </c>
      <c r="B8" s="48" t="s">
        <v>404</v>
      </c>
      <c r="C8" s="48" t="s">
        <v>405</v>
      </c>
      <c r="D8" s="49" t="s">
        <v>585</v>
      </c>
    </row>
    <row r="9" spans="1:4" x14ac:dyDescent="0.35">
      <c r="A9" s="48" t="s">
        <v>586</v>
      </c>
      <c r="B9" s="48" t="s">
        <v>404</v>
      </c>
      <c r="C9" s="48" t="s">
        <v>405</v>
      </c>
      <c r="D9" s="49" t="s">
        <v>587</v>
      </c>
    </row>
    <row r="10" spans="1:4" x14ac:dyDescent="0.35">
      <c r="A10" s="48" t="s">
        <v>262</v>
      </c>
      <c r="B10" s="48" t="s">
        <v>404</v>
      </c>
      <c r="C10" s="48" t="s">
        <v>405</v>
      </c>
      <c r="D10" s="49" t="s">
        <v>435</v>
      </c>
    </row>
    <row r="11" spans="1:4" x14ac:dyDescent="0.35">
      <c r="A11" s="48" t="s">
        <v>588</v>
      </c>
      <c r="B11" s="48" t="s">
        <v>496</v>
      </c>
      <c r="C11" s="48" t="s">
        <v>405</v>
      </c>
      <c r="D11" s="49">
        <v>0</v>
      </c>
    </row>
    <row r="12" spans="1:4" x14ac:dyDescent="0.35">
      <c r="A12" s="48" t="s">
        <v>589</v>
      </c>
      <c r="B12" s="48" t="s">
        <v>520</v>
      </c>
      <c r="C12" s="48" t="s">
        <v>405</v>
      </c>
      <c r="D12" s="51">
        <v>6.1343700000000001E-2</v>
      </c>
    </row>
    <row r="13" spans="1:4" x14ac:dyDescent="0.35">
      <c r="A13" s="48" t="s">
        <v>590</v>
      </c>
      <c r="B13" s="48" t="s">
        <v>404</v>
      </c>
      <c r="C13" s="48" t="s">
        <v>405</v>
      </c>
      <c r="D13" s="51" t="s">
        <v>591</v>
      </c>
    </row>
    <row r="14" spans="1:4" x14ac:dyDescent="0.35">
      <c r="A14" s="48" t="s">
        <v>592</v>
      </c>
      <c r="B14" s="48" t="s">
        <v>404</v>
      </c>
      <c r="C14" s="48" t="s">
        <v>405</v>
      </c>
      <c r="D14" s="49" t="s">
        <v>593</v>
      </c>
    </row>
    <row r="15" spans="1:4" x14ac:dyDescent="0.35">
      <c r="A15" s="48" t="s">
        <v>594</v>
      </c>
      <c r="B15" s="48" t="s">
        <v>404</v>
      </c>
      <c r="C15" s="48" t="s">
        <v>405</v>
      </c>
      <c r="D15" s="49" t="s">
        <v>595</v>
      </c>
    </row>
    <row r="16" spans="1:4" x14ac:dyDescent="0.35">
      <c r="A16" s="48" t="s">
        <v>596</v>
      </c>
      <c r="B16" s="48" t="s">
        <v>404</v>
      </c>
      <c r="C16" s="48" t="s">
        <v>405</v>
      </c>
      <c r="D16" s="49" t="s">
        <v>595</v>
      </c>
    </row>
    <row r="17" spans="1:4" x14ac:dyDescent="0.35">
      <c r="A17" s="48" t="s">
        <v>597</v>
      </c>
      <c r="B17" s="48" t="s">
        <v>404</v>
      </c>
      <c r="C17" s="48" t="s">
        <v>405</v>
      </c>
      <c r="D17" s="49" t="s">
        <v>598</v>
      </c>
    </row>
    <row r="18" spans="1:4" x14ac:dyDescent="0.35">
      <c r="A18" s="48" t="s">
        <v>599</v>
      </c>
      <c r="B18" s="48" t="s">
        <v>404</v>
      </c>
      <c r="C18" s="48" t="s">
        <v>405</v>
      </c>
      <c r="D18" s="49"/>
    </row>
    <row r="19" spans="1:4" x14ac:dyDescent="0.35">
      <c r="A19" s="48" t="s">
        <v>600</v>
      </c>
      <c r="B19" s="48" t="s">
        <v>404</v>
      </c>
      <c r="C19" s="48" t="s">
        <v>405</v>
      </c>
      <c r="D19" s="49" t="s">
        <v>601</v>
      </c>
    </row>
    <row r="20" spans="1:4" x14ac:dyDescent="0.35">
      <c r="A20" s="48" t="s">
        <v>602</v>
      </c>
      <c r="B20" s="48" t="s">
        <v>603</v>
      </c>
      <c r="C20" s="48" t="s">
        <v>405</v>
      </c>
      <c r="D20" s="52">
        <v>44498</v>
      </c>
    </row>
    <row r="21" spans="1:4" x14ac:dyDescent="0.35">
      <c r="A21" s="48" t="s">
        <v>604</v>
      </c>
      <c r="B21" s="48" t="s">
        <v>404</v>
      </c>
      <c r="C21" s="48" t="s">
        <v>405</v>
      </c>
      <c r="D21" s="49" t="s">
        <v>601</v>
      </c>
    </row>
    <row r="22" spans="1:4" x14ac:dyDescent="0.35">
      <c r="A22" s="48" t="s">
        <v>605</v>
      </c>
      <c r="B22" s="48" t="s">
        <v>404</v>
      </c>
      <c r="C22" s="48" t="s">
        <v>405</v>
      </c>
      <c r="D22" s="49" t="s">
        <v>606</v>
      </c>
    </row>
    <row r="23" spans="1:4" x14ac:dyDescent="0.35">
      <c r="A23" s="48" t="s">
        <v>607</v>
      </c>
      <c r="B23" s="48" t="s">
        <v>404</v>
      </c>
      <c r="C23" s="48" t="s">
        <v>405</v>
      </c>
      <c r="D23" s="49" t="s">
        <v>606</v>
      </c>
    </row>
    <row r="24" spans="1:4" x14ac:dyDescent="0.35">
      <c r="A24" s="48" t="s">
        <v>608</v>
      </c>
      <c r="B24" s="48" t="s">
        <v>603</v>
      </c>
      <c r="C24" s="48" t="s">
        <v>405</v>
      </c>
      <c r="D24" s="52">
        <v>45664</v>
      </c>
    </row>
    <row r="25" spans="1:4" x14ac:dyDescent="0.35">
      <c r="A25" s="48" t="s">
        <v>494</v>
      </c>
      <c r="B25" s="48" t="s">
        <v>603</v>
      </c>
      <c r="C25" s="48" t="s">
        <v>405</v>
      </c>
      <c r="D25" s="52">
        <v>45803</v>
      </c>
    </row>
    <row r="26" spans="1:4" x14ac:dyDescent="0.35">
      <c r="A26" s="48" t="s">
        <v>609</v>
      </c>
      <c r="B26" s="48" t="s">
        <v>404</v>
      </c>
      <c r="C26" s="48" t="s">
        <v>405</v>
      </c>
      <c r="D26" s="49"/>
    </row>
    <row r="27" spans="1:4" x14ac:dyDescent="0.35">
      <c r="A27" s="48" t="s">
        <v>264</v>
      </c>
      <c r="B27" s="48" t="s">
        <v>404</v>
      </c>
      <c r="C27" s="48" t="s">
        <v>405</v>
      </c>
      <c r="D27" s="49" t="s">
        <v>610</v>
      </c>
    </row>
    <row r="28" spans="1:4" x14ac:dyDescent="0.35">
      <c r="A28" s="48" t="s">
        <v>611</v>
      </c>
      <c r="B28" s="48" t="s">
        <v>404</v>
      </c>
      <c r="C28" s="48" t="s">
        <v>405</v>
      </c>
      <c r="D28" s="49" t="s">
        <v>610</v>
      </c>
    </row>
    <row r="29" spans="1:4" x14ac:dyDescent="0.35">
      <c r="A29" s="48" t="s">
        <v>612</v>
      </c>
      <c r="B29" s="48" t="s">
        <v>613</v>
      </c>
      <c r="C29" s="48" t="s">
        <v>405</v>
      </c>
      <c r="D29" s="49" t="s">
        <v>614</v>
      </c>
    </row>
    <row r="30" spans="1:4" x14ac:dyDescent="0.35">
      <c r="A30" s="48" t="s">
        <v>615</v>
      </c>
      <c r="B30" s="48" t="s">
        <v>404</v>
      </c>
      <c r="C30" s="48" t="s">
        <v>405</v>
      </c>
      <c r="D30" s="49" t="s">
        <v>616</v>
      </c>
    </row>
    <row r="31" spans="1:4" x14ac:dyDescent="0.35">
      <c r="A31" s="48" t="s">
        <v>617</v>
      </c>
      <c r="B31" s="48" t="s">
        <v>404</v>
      </c>
      <c r="C31" s="48" t="s">
        <v>405</v>
      </c>
      <c r="D31" s="49">
        <v>9414298284</v>
      </c>
    </row>
    <row r="32" spans="1:4" x14ac:dyDescent="0.35">
      <c r="A32" s="48" t="s">
        <v>618</v>
      </c>
      <c r="B32" s="48" t="s">
        <v>404</v>
      </c>
      <c r="C32" s="48" t="s">
        <v>405</v>
      </c>
      <c r="D32" s="49" t="s">
        <v>583</v>
      </c>
    </row>
    <row r="33" spans="1:4" x14ac:dyDescent="0.35">
      <c r="A33" s="48" t="s">
        <v>619</v>
      </c>
      <c r="B33" s="48" t="s">
        <v>404</v>
      </c>
      <c r="C33" s="48" t="s">
        <v>405</v>
      </c>
      <c r="D33" s="49"/>
    </row>
    <row r="34" spans="1:4" x14ac:dyDescent="0.35">
      <c r="A34" s="48" t="s">
        <v>620</v>
      </c>
      <c r="B34" s="48" t="s">
        <v>404</v>
      </c>
      <c r="C34" s="48" t="s">
        <v>405</v>
      </c>
      <c r="D34" s="49" t="s">
        <v>621</v>
      </c>
    </row>
    <row r="35" spans="1:4" x14ac:dyDescent="0.35">
      <c r="A35" s="48" t="s">
        <v>622</v>
      </c>
      <c r="B35" s="48" t="s">
        <v>404</v>
      </c>
      <c r="C35" s="48" t="s">
        <v>405</v>
      </c>
      <c r="D35" s="53">
        <v>45569</v>
      </c>
    </row>
    <row r="36" spans="1:4" x14ac:dyDescent="0.35">
      <c r="A36" s="48" t="s">
        <v>623</v>
      </c>
      <c r="B36" s="48" t="s">
        <v>404</v>
      </c>
      <c r="C36" s="48" t="s">
        <v>405</v>
      </c>
      <c r="D36" s="49" t="s">
        <v>624</v>
      </c>
    </row>
    <row r="37" spans="1:4" x14ac:dyDescent="0.35">
      <c r="A37" s="48" t="s">
        <v>625</v>
      </c>
      <c r="B37" s="48" t="s">
        <v>404</v>
      </c>
      <c r="C37" s="48" t="s">
        <v>405</v>
      </c>
      <c r="D37" s="53" t="s">
        <v>458</v>
      </c>
    </row>
    <row r="38" spans="1:4" x14ac:dyDescent="0.35">
      <c r="A38" s="48" t="s">
        <v>626</v>
      </c>
      <c r="B38" s="48" t="s">
        <v>404</v>
      </c>
      <c r="C38" s="48" t="s">
        <v>405</v>
      </c>
      <c r="D38" s="49" t="s">
        <v>627</v>
      </c>
    </row>
    <row r="39" spans="1:4" x14ac:dyDescent="0.35">
      <c r="A39" s="48" t="s">
        <v>628</v>
      </c>
      <c r="B39" s="48" t="s">
        <v>520</v>
      </c>
      <c r="C39" s="48" t="s">
        <v>405</v>
      </c>
      <c r="D39" s="49">
        <v>2900000</v>
      </c>
    </row>
    <row r="40" spans="1:4" x14ac:dyDescent="0.35">
      <c r="A40" s="48" t="s">
        <v>629</v>
      </c>
      <c r="B40" s="48" t="s">
        <v>404</v>
      </c>
      <c r="C40" s="48" t="s">
        <v>405</v>
      </c>
      <c r="D40" s="49"/>
    </row>
    <row r="41" spans="1:4" x14ac:dyDescent="0.35">
      <c r="A41" s="48" t="s">
        <v>630</v>
      </c>
      <c r="B41" s="48" t="s">
        <v>404</v>
      </c>
      <c r="C41" s="48" t="s">
        <v>405</v>
      </c>
      <c r="D41" s="49" t="s">
        <v>631</v>
      </c>
    </row>
    <row r="42" spans="1:4" x14ac:dyDescent="0.35">
      <c r="A42" s="48" t="s">
        <v>632</v>
      </c>
      <c r="B42" s="48" t="s">
        <v>404</v>
      </c>
      <c r="C42" s="48" t="s">
        <v>405</v>
      </c>
      <c r="D42" s="49" t="s">
        <v>430</v>
      </c>
    </row>
    <row r="43" spans="1:4" x14ac:dyDescent="0.35">
      <c r="A43" s="48" t="s">
        <v>633</v>
      </c>
      <c r="B43" s="48" t="s">
        <v>404</v>
      </c>
      <c r="C43" s="48" t="s">
        <v>405</v>
      </c>
      <c r="D43" s="49" t="s">
        <v>576</v>
      </c>
    </row>
    <row r="44" spans="1:4" x14ac:dyDescent="0.35">
      <c r="A44" s="48" t="s">
        <v>634</v>
      </c>
      <c r="B44" s="48" t="s">
        <v>404</v>
      </c>
      <c r="C44" s="48" t="s">
        <v>405</v>
      </c>
      <c r="D44" s="49" t="s">
        <v>635</v>
      </c>
    </row>
    <row r="45" spans="1:4" x14ac:dyDescent="0.35">
      <c r="A45" s="48" t="s">
        <v>636</v>
      </c>
      <c r="B45" s="48" t="s">
        <v>404</v>
      </c>
      <c r="C45" s="48" t="s">
        <v>405</v>
      </c>
      <c r="D45" s="49">
        <v>0</v>
      </c>
    </row>
    <row r="46" spans="1:4" x14ac:dyDescent="0.35">
      <c r="A46" s="48" t="s">
        <v>637</v>
      </c>
      <c r="B46" s="48" t="s">
        <v>404</v>
      </c>
      <c r="C46" s="48" t="s">
        <v>405</v>
      </c>
      <c r="D46" s="49"/>
    </row>
    <row r="47" spans="1:4" x14ac:dyDescent="0.35">
      <c r="A47" s="48" t="s">
        <v>638</v>
      </c>
      <c r="B47" s="48" t="s">
        <v>404</v>
      </c>
      <c r="C47" s="48" t="s">
        <v>405</v>
      </c>
      <c r="D47" s="49"/>
    </row>
    <row r="48" spans="1:4" x14ac:dyDescent="0.35">
      <c r="A48" s="48" t="s">
        <v>639</v>
      </c>
      <c r="B48" s="48" t="s">
        <v>520</v>
      </c>
      <c r="C48" s="48" t="s">
        <v>405</v>
      </c>
      <c r="D48" s="49">
        <v>619802</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workbookViewId="0">
      <selection activeCell="C11" sqref="C11"/>
    </sheetView>
  </sheetViews>
  <sheetFormatPr defaultColWidth="37.6328125" defaultRowHeight="14.5" x14ac:dyDescent="0.35"/>
  <sheetData>
    <row r="1" spans="1:4" x14ac:dyDescent="0.35">
      <c r="A1" s="1" t="s">
        <v>578</v>
      </c>
      <c r="B1" s="1" t="s">
        <v>401</v>
      </c>
      <c r="C1" s="1" t="s">
        <v>402</v>
      </c>
      <c r="D1" s="1" t="s">
        <v>126</v>
      </c>
    </row>
    <row r="2" spans="1:4" x14ac:dyDescent="0.35">
      <c r="A2" s="48" t="s">
        <v>24</v>
      </c>
      <c r="B2" s="48" t="s">
        <v>404</v>
      </c>
      <c r="C2" s="48" t="s">
        <v>405</v>
      </c>
      <c r="D2" s="49" t="s">
        <v>640</v>
      </c>
    </row>
    <row r="3" spans="1:4" x14ac:dyDescent="0.35">
      <c r="A3" s="48" t="s">
        <v>80</v>
      </c>
      <c r="B3" s="48" t="s">
        <v>404</v>
      </c>
      <c r="C3" s="48" t="s">
        <v>405</v>
      </c>
      <c r="D3" s="50">
        <v>171205500713401</v>
      </c>
    </row>
    <row r="4" spans="1:4" x14ac:dyDescent="0.35">
      <c r="A4" s="48" t="s">
        <v>580</v>
      </c>
      <c r="B4" s="48" t="s">
        <v>404</v>
      </c>
      <c r="C4" s="48" t="s">
        <v>405</v>
      </c>
      <c r="D4" s="50">
        <v>407747</v>
      </c>
    </row>
    <row r="5" spans="1:4" x14ac:dyDescent="0.35">
      <c r="A5" s="48" t="s">
        <v>7</v>
      </c>
      <c r="B5" s="48" t="s">
        <v>404</v>
      </c>
      <c r="C5" s="48" t="s">
        <v>405</v>
      </c>
      <c r="D5" s="49" t="s">
        <v>641</v>
      </c>
    </row>
    <row r="6" spans="1:4" x14ac:dyDescent="0.35">
      <c r="A6" s="48" t="s">
        <v>34</v>
      </c>
      <c r="B6" s="48" t="s">
        <v>404</v>
      </c>
      <c r="C6" s="48" t="s">
        <v>405</v>
      </c>
      <c r="D6" s="49" t="s">
        <v>582</v>
      </c>
    </row>
    <row r="7" spans="1:4" x14ac:dyDescent="0.35">
      <c r="A7" s="48" t="s">
        <v>22</v>
      </c>
      <c r="B7" s="48" t="s">
        <v>404</v>
      </c>
      <c r="C7" s="48" t="s">
        <v>405</v>
      </c>
      <c r="D7" s="49" t="s">
        <v>642</v>
      </c>
    </row>
    <row r="8" spans="1:4" x14ac:dyDescent="0.35">
      <c r="A8" s="48" t="s">
        <v>584</v>
      </c>
      <c r="B8" s="48" t="s">
        <v>404</v>
      </c>
      <c r="C8" s="48" t="s">
        <v>405</v>
      </c>
      <c r="D8" s="49" t="s">
        <v>585</v>
      </c>
    </row>
    <row r="9" spans="1:4" x14ac:dyDescent="0.35">
      <c r="A9" s="48" t="s">
        <v>643</v>
      </c>
      <c r="B9" s="48" t="s">
        <v>404</v>
      </c>
      <c r="C9" s="48" t="s">
        <v>405</v>
      </c>
      <c r="D9" s="49" t="s">
        <v>644</v>
      </c>
    </row>
    <row r="10" spans="1:4" x14ac:dyDescent="0.35">
      <c r="A10" s="48" t="s">
        <v>262</v>
      </c>
      <c r="B10" s="48" t="s">
        <v>404</v>
      </c>
      <c r="C10" s="48" t="s">
        <v>405</v>
      </c>
      <c r="D10" s="49" t="s">
        <v>438</v>
      </c>
    </row>
    <row r="11" spans="1:4" x14ac:dyDescent="0.35">
      <c r="A11" s="48" t="s">
        <v>588</v>
      </c>
      <c r="B11" s="48" t="s">
        <v>496</v>
      </c>
      <c r="C11" s="48" t="s">
        <v>405</v>
      </c>
      <c r="D11" s="49">
        <v>19</v>
      </c>
    </row>
    <row r="12" spans="1:4" x14ac:dyDescent="0.35">
      <c r="A12" s="48" t="s">
        <v>589</v>
      </c>
      <c r="B12" s="48" t="s">
        <v>520</v>
      </c>
      <c r="C12" s="48" t="s">
        <v>405</v>
      </c>
      <c r="D12" s="51">
        <v>0.1159459</v>
      </c>
    </row>
    <row r="13" spans="1:4" x14ac:dyDescent="0.35">
      <c r="A13" s="48" t="s">
        <v>590</v>
      </c>
      <c r="B13" s="48" t="s">
        <v>404</v>
      </c>
      <c r="C13" s="48" t="s">
        <v>405</v>
      </c>
      <c r="D13" s="51" t="s">
        <v>645</v>
      </c>
    </row>
    <row r="14" spans="1:4" x14ac:dyDescent="0.35">
      <c r="A14" s="48" t="s">
        <v>592</v>
      </c>
      <c r="B14" s="48" t="s">
        <v>404</v>
      </c>
      <c r="C14" s="48" t="s">
        <v>405</v>
      </c>
      <c r="D14" s="49" t="s">
        <v>646</v>
      </c>
    </row>
    <row r="15" spans="1:4" x14ac:dyDescent="0.35">
      <c r="A15" s="48" t="s">
        <v>594</v>
      </c>
      <c r="B15" s="48" t="s">
        <v>404</v>
      </c>
      <c r="C15" s="48" t="s">
        <v>405</v>
      </c>
      <c r="D15" s="49" t="s">
        <v>647</v>
      </c>
    </row>
    <row r="16" spans="1:4" x14ac:dyDescent="0.35">
      <c r="A16" s="48" t="s">
        <v>596</v>
      </c>
      <c r="B16" s="48" t="s">
        <v>404</v>
      </c>
      <c r="C16" s="48" t="s">
        <v>405</v>
      </c>
      <c r="D16" s="49" t="s">
        <v>647</v>
      </c>
    </row>
    <row r="17" spans="1:4" x14ac:dyDescent="0.35">
      <c r="A17" s="48" t="s">
        <v>597</v>
      </c>
      <c r="B17" s="48" t="s">
        <v>404</v>
      </c>
      <c r="C17" s="48" t="s">
        <v>405</v>
      </c>
      <c r="D17" s="49" t="s">
        <v>647</v>
      </c>
    </row>
    <row r="18" spans="1:4" x14ac:dyDescent="0.35">
      <c r="A18" s="48" t="s">
        <v>599</v>
      </c>
      <c r="B18" s="48" t="s">
        <v>404</v>
      </c>
      <c r="C18" s="48" t="s">
        <v>405</v>
      </c>
      <c r="D18" s="49"/>
    </row>
    <row r="19" spans="1:4" x14ac:dyDescent="0.35">
      <c r="A19" s="48" t="s">
        <v>600</v>
      </c>
      <c r="B19" s="48" t="s">
        <v>404</v>
      </c>
      <c r="C19" s="48" t="s">
        <v>405</v>
      </c>
      <c r="D19" s="49" t="s">
        <v>647</v>
      </c>
    </row>
    <row r="20" spans="1:4" x14ac:dyDescent="0.35">
      <c r="A20" s="48" t="s">
        <v>602</v>
      </c>
      <c r="B20" s="48" t="s">
        <v>603</v>
      </c>
      <c r="C20" s="48" t="s">
        <v>405</v>
      </c>
      <c r="D20" s="52">
        <v>45078</v>
      </c>
    </row>
    <row r="21" spans="1:4" x14ac:dyDescent="0.35">
      <c r="A21" s="48" t="s">
        <v>604</v>
      </c>
      <c r="B21" s="48" t="s">
        <v>404</v>
      </c>
      <c r="C21" s="48" t="s">
        <v>405</v>
      </c>
      <c r="D21" s="49" t="s">
        <v>601</v>
      </c>
    </row>
    <row r="22" spans="1:4" x14ac:dyDescent="0.35">
      <c r="A22" s="48" t="s">
        <v>605</v>
      </c>
      <c r="B22" s="48" t="s">
        <v>404</v>
      </c>
      <c r="C22" s="48" t="s">
        <v>405</v>
      </c>
      <c r="D22" s="49" t="s">
        <v>648</v>
      </c>
    </row>
    <row r="23" spans="1:4" x14ac:dyDescent="0.35">
      <c r="A23" s="48" t="s">
        <v>607</v>
      </c>
      <c r="B23" s="48" t="s">
        <v>404</v>
      </c>
      <c r="C23" s="48" t="s">
        <v>405</v>
      </c>
      <c r="D23" s="49" t="s">
        <v>649</v>
      </c>
    </row>
    <row r="24" spans="1:4" x14ac:dyDescent="0.35">
      <c r="A24" s="48" t="s">
        <v>608</v>
      </c>
      <c r="B24" s="48" t="s">
        <v>603</v>
      </c>
      <c r="C24" s="48" t="s">
        <v>405</v>
      </c>
      <c r="D24" s="52">
        <v>45749</v>
      </c>
    </row>
    <row r="25" spans="1:4" x14ac:dyDescent="0.35">
      <c r="A25" s="48" t="s">
        <v>494</v>
      </c>
      <c r="B25" s="48" t="s">
        <v>603</v>
      </c>
      <c r="C25" s="48" t="s">
        <v>405</v>
      </c>
      <c r="D25" s="52">
        <v>45702</v>
      </c>
    </row>
    <row r="26" spans="1:4" x14ac:dyDescent="0.35">
      <c r="A26" s="48" t="s">
        <v>609</v>
      </c>
      <c r="B26" s="48" t="s">
        <v>404</v>
      </c>
      <c r="C26" s="48" t="s">
        <v>405</v>
      </c>
      <c r="D26" s="49"/>
    </row>
    <row r="27" spans="1:4" x14ac:dyDescent="0.35">
      <c r="A27" s="48" t="s">
        <v>264</v>
      </c>
      <c r="B27" s="48" t="s">
        <v>404</v>
      </c>
      <c r="C27" s="48" t="s">
        <v>405</v>
      </c>
      <c r="D27" s="49" t="s">
        <v>650</v>
      </c>
    </row>
    <row r="28" spans="1:4" x14ac:dyDescent="0.35">
      <c r="A28" s="48" t="s">
        <v>611</v>
      </c>
      <c r="B28" s="48" t="s">
        <v>404</v>
      </c>
      <c r="C28" s="48" t="s">
        <v>405</v>
      </c>
      <c r="D28" s="49" t="s">
        <v>650</v>
      </c>
    </row>
    <row r="29" spans="1:4" x14ac:dyDescent="0.35">
      <c r="A29" s="48" t="s">
        <v>612</v>
      </c>
      <c r="B29" s="48" t="s">
        <v>613</v>
      </c>
      <c r="C29" s="48" t="s">
        <v>405</v>
      </c>
      <c r="D29" s="49" t="s">
        <v>651</v>
      </c>
    </row>
    <row r="30" spans="1:4" x14ac:dyDescent="0.35">
      <c r="A30" s="48" t="s">
        <v>615</v>
      </c>
      <c r="B30" s="48" t="s">
        <v>404</v>
      </c>
      <c r="C30" s="48" t="s">
        <v>405</v>
      </c>
      <c r="D30" s="49" t="s">
        <v>652</v>
      </c>
    </row>
    <row r="31" spans="1:4" x14ac:dyDescent="0.35">
      <c r="A31" s="48" t="s">
        <v>617</v>
      </c>
      <c r="B31" s="48" t="s">
        <v>404</v>
      </c>
      <c r="C31" s="48" t="s">
        <v>405</v>
      </c>
      <c r="D31" s="49">
        <v>9309077773</v>
      </c>
    </row>
    <row r="32" spans="1:4" x14ac:dyDescent="0.35">
      <c r="A32" s="48" t="s">
        <v>618</v>
      </c>
      <c r="B32" s="48" t="s">
        <v>404</v>
      </c>
      <c r="C32" s="48" t="s">
        <v>405</v>
      </c>
      <c r="D32" s="49" t="s">
        <v>642</v>
      </c>
    </row>
    <row r="33" spans="1:4" x14ac:dyDescent="0.35">
      <c r="A33" s="48" t="s">
        <v>619</v>
      </c>
      <c r="B33" s="48" t="s">
        <v>404</v>
      </c>
      <c r="C33" s="48" t="s">
        <v>405</v>
      </c>
      <c r="D33" s="49" t="s">
        <v>653</v>
      </c>
    </row>
    <row r="34" spans="1:4" x14ac:dyDescent="0.35">
      <c r="A34" s="48" t="s">
        <v>620</v>
      </c>
      <c r="B34" s="48" t="s">
        <v>404</v>
      </c>
      <c r="C34" s="48" t="s">
        <v>405</v>
      </c>
      <c r="D34" s="49" t="s">
        <v>654</v>
      </c>
    </row>
    <row r="35" spans="1:4" x14ac:dyDescent="0.35">
      <c r="A35" s="48" t="s">
        <v>622</v>
      </c>
      <c r="B35" s="48" t="s">
        <v>404</v>
      </c>
      <c r="C35" s="48" t="s">
        <v>405</v>
      </c>
      <c r="D35" s="53">
        <v>45624</v>
      </c>
    </row>
    <row r="36" spans="1:4" x14ac:dyDescent="0.35">
      <c r="A36" s="48" t="s">
        <v>623</v>
      </c>
      <c r="B36" s="48" t="s">
        <v>404</v>
      </c>
      <c r="C36" s="48" t="s">
        <v>405</v>
      </c>
      <c r="D36" s="49" t="s">
        <v>655</v>
      </c>
    </row>
    <row r="37" spans="1:4" x14ac:dyDescent="0.35">
      <c r="A37" s="48" t="s">
        <v>625</v>
      </c>
      <c r="B37" s="48" t="s">
        <v>404</v>
      </c>
      <c r="C37" s="48" t="s">
        <v>405</v>
      </c>
      <c r="D37" s="53" t="s">
        <v>458</v>
      </c>
    </row>
    <row r="38" spans="1:4" x14ac:dyDescent="0.35">
      <c r="A38" s="48" t="s">
        <v>626</v>
      </c>
      <c r="B38" s="48" t="s">
        <v>404</v>
      </c>
      <c r="C38" s="48" t="s">
        <v>405</v>
      </c>
      <c r="D38" s="49" t="s">
        <v>656</v>
      </c>
    </row>
    <row r="39" spans="1:4" x14ac:dyDescent="0.35">
      <c r="A39" s="48" t="s">
        <v>628</v>
      </c>
      <c r="B39" s="48" t="s">
        <v>520</v>
      </c>
      <c r="C39" s="48" t="s">
        <v>405</v>
      </c>
      <c r="D39" s="49"/>
    </row>
    <row r="40" spans="1:4" x14ac:dyDescent="0.35">
      <c r="A40" s="48" t="s">
        <v>629</v>
      </c>
      <c r="B40" s="48" t="s">
        <v>404</v>
      </c>
      <c r="C40" s="48" t="s">
        <v>405</v>
      </c>
      <c r="D40" s="49"/>
    </row>
    <row r="41" spans="1:4" x14ac:dyDescent="0.35">
      <c r="A41" s="48" t="s">
        <v>630</v>
      </c>
      <c r="B41" s="48" t="s">
        <v>404</v>
      </c>
      <c r="C41" s="48" t="s">
        <v>405</v>
      </c>
      <c r="D41" s="49" t="s">
        <v>631</v>
      </c>
    </row>
    <row r="42" spans="1:4" x14ac:dyDescent="0.35">
      <c r="A42" s="48" t="s">
        <v>632</v>
      </c>
      <c r="B42" s="48" t="s">
        <v>404</v>
      </c>
      <c r="C42" s="48" t="s">
        <v>405</v>
      </c>
      <c r="D42" s="49" t="s">
        <v>430</v>
      </c>
    </row>
    <row r="43" spans="1:4" x14ac:dyDescent="0.35">
      <c r="A43" s="48" t="s">
        <v>633</v>
      </c>
      <c r="B43" s="48" t="s">
        <v>404</v>
      </c>
      <c r="C43" s="48" t="s">
        <v>405</v>
      </c>
      <c r="D43" s="49" t="s">
        <v>576</v>
      </c>
    </row>
    <row r="44" spans="1:4" x14ac:dyDescent="0.35">
      <c r="A44" s="48" t="s">
        <v>634</v>
      </c>
      <c r="B44" s="48" t="s">
        <v>404</v>
      </c>
      <c r="C44" s="48" t="s">
        <v>405</v>
      </c>
      <c r="D44" s="49"/>
    </row>
    <row r="45" spans="1:4" x14ac:dyDescent="0.35">
      <c r="A45" s="48" t="s">
        <v>636</v>
      </c>
      <c r="B45" s="48" t="s">
        <v>404</v>
      </c>
      <c r="C45" s="48" t="s">
        <v>405</v>
      </c>
      <c r="D45" s="49"/>
    </row>
    <row r="46" spans="1:4" x14ac:dyDescent="0.35">
      <c r="A46" s="48" t="s">
        <v>637</v>
      </c>
      <c r="B46" s="48" t="s">
        <v>404</v>
      </c>
      <c r="C46" s="48" t="s">
        <v>405</v>
      </c>
      <c r="D46" s="49" t="s">
        <v>657</v>
      </c>
    </row>
    <row r="47" spans="1:4" x14ac:dyDescent="0.35">
      <c r="A47" s="48" t="s">
        <v>638</v>
      </c>
      <c r="B47" s="48" t="s">
        <v>404</v>
      </c>
      <c r="C47" s="48" t="s">
        <v>405</v>
      </c>
      <c r="D47" s="49"/>
    </row>
    <row r="48" spans="1:4" x14ac:dyDescent="0.35">
      <c r="A48" s="48" t="s">
        <v>639</v>
      </c>
      <c r="B48" s="48" t="s">
        <v>520</v>
      </c>
      <c r="C48" s="48" t="s">
        <v>405</v>
      </c>
      <c r="D48" s="49">
        <v>1161379</v>
      </c>
    </row>
  </sheetData>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2"/>
  <sheetViews>
    <sheetView workbookViewId="0">
      <selection activeCell="D12" sqref="D12"/>
    </sheetView>
  </sheetViews>
  <sheetFormatPr defaultColWidth="21.36328125" defaultRowHeight="14.5" x14ac:dyDescent="0.35"/>
  <sheetData>
    <row r="1" spans="1:4" x14ac:dyDescent="0.35">
      <c r="A1" s="1" t="s">
        <v>578</v>
      </c>
      <c r="B1" s="1" t="s">
        <v>401</v>
      </c>
      <c r="C1" s="1" t="s">
        <v>402</v>
      </c>
      <c r="D1" s="1" t="s">
        <v>126</v>
      </c>
    </row>
    <row r="2" spans="1:4" x14ac:dyDescent="0.35">
      <c r="A2" s="3" t="s">
        <v>658</v>
      </c>
      <c r="B2" s="2" t="s">
        <v>404</v>
      </c>
      <c r="C2" s="3" t="s">
        <v>405</v>
      </c>
      <c r="D2" s="59" t="s">
        <v>807</v>
      </c>
    </row>
    <row r="3" spans="1:4" x14ac:dyDescent="0.35">
      <c r="A3" s="22" t="s">
        <v>24</v>
      </c>
      <c r="B3" s="2" t="s">
        <v>404</v>
      </c>
      <c r="C3" s="3" t="s">
        <v>407</v>
      </c>
      <c r="D3" s="59" t="s">
        <v>808</v>
      </c>
    </row>
    <row r="4" spans="1:4" x14ac:dyDescent="0.35">
      <c r="A4" s="22" t="s">
        <v>80</v>
      </c>
      <c r="B4" s="2" t="s">
        <v>404</v>
      </c>
      <c r="C4" s="3" t="s">
        <v>405</v>
      </c>
      <c r="D4" s="62">
        <v>141203900099661</v>
      </c>
    </row>
    <row r="5" spans="1:4" x14ac:dyDescent="0.35">
      <c r="A5" s="3" t="s">
        <v>580</v>
      </c>
      <c r="B5" s="2" t="s">
        <v>404</v>
      </c>
      <c r="C5" s="3" t="s">
        <v>407</v>
      </c>
      <c r="D5" s="57">
        <v>377302</v>
      </c>
    </row>
    <row r="6" spans="1:4" x14ac:dyDescent="0.35">
      <c r="A6" s="3" t="s">
        <v>34</v>
      </c>
      <c r="B6" s="2" t="s">
        <v>404</v>
      </c>
      <c r="C6" s="2" t="s">
        <v>407</v>
      </c>
      <c r="D6" s="55" t="s">
        <v>809</v>
      </c>
    </row>
    <row r="7" spans="1:4" x14ac:dyDescent="0.35">
      <c r="A7" s="3" t="s">
        <v>22</v>
      </c>
      <c r="B7" s="2" t="s">
        <v>404</v>
      </c>
      <c r="C7" s="2" t="s">
        <v>407</v>
      </c>
      <c r="D7" s="59" t="s">
        <v>810</v>
      </c>
    </row>
    <row r="8" spans="1:4" x14ac:dyDescent="0.35">
      <c r="A8" s="3" t="s">
        <v>278</v>
      </c>
      <c r="B8" s="2" t="s">
        <v>404</v>
      </c>
      <c r="C8" s="2" t="s">
        <v>407</v>
      </c>
      <c r="D8" s="57" t="s">
        <v>661</v>
      </c>
    </row>
    <row r="9" spans="1:4" x14ac:dyDescent="0.35">
      <c r="A9" s="3" t="s">
        <v>662</v>
      </c>
      <c r="B9" s="2" t="s">
        <v>404</v>
      </c>
      <c r="C9" s="2" t="s">
        <v>405</v>
      </c>
      <c r="D9" s="57" t="s">
        <v>663</v>
      </c>
    </row>
    <row r="10" spans="1:4" x14ac:dyDescent="0.35">
      <c r="A10" s="3" t="s">
        <v>664</v>
      </c>
      <c r="B10" s="2" t="s">
        <v>404</v>
      </c>
      <c r="C10" s="2" t="s">
        <v>405</v>
      </c>
      <c r="D10" s="57" t="s">
        <v>811</v>
      </c>
    </row>
    <row r="11" spans="1:4" x14ac:dyDescent="0.35">
      <c r="A11" s="3" t="s">
        <v>7</v>
      </c>
      <c r="B11" s="2" t="s">
        <v>404</v>
      </c>
      <c r="C11" s="2" t="s">
        <v>407</v>
      </c>
      <c r="D11" s="55" t="s">
        <v>812</v>
      </c>
    </row>
    <row r="12" spans="1:4" x14ac:dyDescent="0.35">
      <c r="A12" s="3" t="s">
        <v>676</v>
      </c>
      <c r="B12" s="2" t="s">
        <v>404</v>
      </c>
      <c r="C12" s="2" t="s">
        <v>407</v>
      </c>
      <c r="D12" s="57"/>
    </row>
    <row r="13" spans="1:4" x14ac:dyDescent="0.35">
      <c r="A13" s="3" t="s">
        <v>669</v>
      </c>
      <c r="B13" s="2" t="s">
        <v>404</v>
      </c>
      <c r="C13" s="2" t="s">
        <v>407</v>
      </c>
      <c r="D13" s="63">
        <v>4.4188999999999999E-3</v>
      </c>
    </row>
    <row r="14" spans="1:4" x14ac:dyDescent="0.35">
      <c r="A14" s="3" t="s">
        <v>263</v>
      </c>
      <c r="B14" s="2" t="s">
        <v>404</v>
      </c>
      <c r="C14" s="2" t="s">
        <v>407</v>
      </c>
      <c r="D14" s="62" t="s">
        <v>435</v>
      </c>
    </row>
    <row r="15" spans="1:4" x14ac:dyDescent="0.35">
      <c r="A15" s="3" t="s">
        <v>667</v>
      </c>
      <c r="B15" s="2" t="s">
        <v>404</v>
      </c>
      <c r="C15" s="2" t="s">
        <v>407</v>
      </c>
      <c r="D15" s="62">
        <v>0</v>
      </c>
    </row>
    <row r="16" spans="1:4" x14ac:dyDescent="0.35">
      <c r="A16" s="3" t="s">
        <v>262</v>
      </c>
      <c r="B16" s="2" t="s">
        <v>404</v>
      </c>
      <c r="C16" s="2" t="s">
        <v>407</v>
      </c>
      <c r="D16" s="62" t="s">
        <v>435</v>
      </c>
    </row>
    <row r="17" spans="1:4" x14ac:dyDescent="0.35">
      <c r="A17" s="3" t="s">
        <v>668</v>
      </c>
      <c r="B17" s="2" t="s">
        <v>404</v>
      </c>
      <c r="C17" s="2" t="s">
        <v>407</v>
      </c>
      <c r="D17" s="62">
        <v>0</v>
      </c>
    </row>
    <row r="18" spans="1:4" x14ac:dyDescent="0.35">
      <c r="A18" s="3" t="s">
        <v>813</v>
      </c>
      <c r="B18" s="2" t="s">
        <v>404</v>
      </c>
      <c r="C18" s="2" t="s">
        <v>405</v>
      </c>
      <c r="D18" s="55">
        <v>619177</v>
      </c>
    </row>
    <row r="19" spans="1:4" x14ac:dyDescent="0.35">
      <c r="A19" s="3" t="s">
        <v>814</v>
      </c>
      <c r="B19" s="2" t="s">
        <v>404</v>
      </c>
      <c r="C19" s="2" t="s">
        <v>405</v>
      </c>
      <c r="D19" s="55" t="s">
        <v>815</v>
      </c>
    </row>
    <row r="20" spans="1:4" x14ac:dyDescent="0.35">
      <c r="A20" s="3" t="s">
        <v>816</v>
      </c>
      <c r="B20" s="2" t="s">
        <v>404</v>
      </c>
      <c r="C20" s="2" t="s">
        <v>405</v>
      </c>
      <c r="D20" s="57" t="s">
        <v>817</v>
      </c>
    </row>
    <row r="21" spans="1:4" x14ac:dyDescent="0.35">
      <c r="A21" s="3" t="s">
        <v>677</v>
      </c>
      <c r="B21" s="2" t="s">
        <v>520</v>
      </c>
      <c r="C21" s="2" t="s">
        <v>405</v>
      </c>
      <c r="D21" s="59" t="s">
        <v>818</v>
      </c>
    </row>
    <row r="22" spans="1:4" x14ac:dyDescent="0.35">
      <c r="A22" s="3" t="s">
        <v>678</v>
      </c>
      <c r="B22" s="2" t="s">
        <v>404</v>
      </c>
      <c r="C22" s="2" t="s">
        <v>405</v>
      </c>
      <c r="D22" s="59" t="s">
        <v>819</v>
      </c>
    </row>
    <row r="23" spans="1:4" x14ac:dyDescent="0.35">
      <c r="A23" s="3" t="s">
        <v>671</v>
      </c>
      <c r="B23" s="2" t="s">
        <v>404</v>
      </c>
      <c r="C23" s="2" t="s">
        <v>405</v>
      </c>
      <c r="D23" s="57" t="s">
        <v>820</v>
      </c>
    </row>
    <row r="24" spans="1:4" x14ac:dyDescent="0.35">
      <c r="A24" s="3" t="s">
        <v>592</v>
      </c>
      <c r="B24" s="2" t="s">
        <v>404</v>
      </c>
      <c r="C24" s="2" t="s">
        <v>405</v>
      </c>
      <c r="D24" s="55" t="s">
        <v>821</v>
      </c>
    </row>
    <row r="25" spans="1:4" x14ac:dyDescent="0.35">
      <c r="A25" s="3" t="s">
        <v>680</v>
      </c>
      <c r="B25" s="2" t="s">
        <v>46</v>
      </c>
      <c r="C25" s="3" t="s">
        <v>405</v>
      </c>
      <c r="D25" s="64">
        <v>43190</v>
      </c>
    </row>
    <row r="26" spans="1:4" x14ac:dyDescent="0.35">
      <c r="A26" s="3" t="s">
        <v>681</v>
      </c>
      <c r="B26" s="2" t="s">
        <v>46</v>
      </c>
      <c r="C26" s="3" t="s">
        <v>405</v>
      </c>
      <c r="D26" s="64">
        <v>43223</v>
      </c>
    </row>
    <row r="27" spans="1:4" x14ac:dyDescent="0.35">
      <c r="A27" s="3" t="s">
        <v>822</v>
      </c>
      <c r="B27" s="2" t="s">
        <v>46</v>
      </c>
      <c r="C27" s="3" t="s">
        <v>405</v>
      </c>
      <c r="D27" s="61">
        <v>45562</v>
      </c>
    </row>
    <row r="28" spans="1:4" x14ac:dyDescent="0.35">
      <c r="A28" s="3" t="s">
        <v>683</v>
      </c>
      <c r="B28" s="2" t="s">
        <v>46</v>
      </c>
      <c r="C28" s="3" t="s">
        <v>405</v>
      </c>
      <c r="D28" s="61">
        <v>45768</v>
      </c>
    </row>
    <row r="29" spans="1:4" x14ac:dyDescent="0.35">
      <c r="A29" s="3" t="s">
        <v>265</v>
      </c>
      <c r="B29" s="2" t="s">
        <v>404</v>
      </c>
      <c r="C29" s="2" t="s">
        <v>405</v>
      </c>
      <c r="D29" s="57" t="s">
        <v>685</v>
      </c>
    </row>
    <row r="30" spans="1:4" x14ac:dyDescent="0.35">
      <c r="A30" s="3" t="s">
        <v>823</v>
      </c>
      <c r="B30" s="2" t="s">
        <v>404</v>
      </c>
      <c r="C30" s="2" t="s">
        <v>405</v>
      </c>
      <c r="D30" s="61"/>
    </row>
    <row r="31" spans="1:4" x14ac:dyDescent="0.35">
      <c r="A31" s="3" t="s">
        <v>824</v>
      </c>
      <c r="B31" s="2" t="s">
        <v>404</v>
      </c>
      <c r="C31" s="2" t="s">
        <v>405</v>
      </c>
      <c r="D31" s="61"/>
    </row>
    <row r="32" spans="1:4" x14ac:dyDescent="0.35">
      <c r="A32" s="3" t="s">
        <v>825</v>
      </c>
      <c r="B32" s="2" t="s">
        <v>404</v>
      </c>
      <c r="C32" s="2" t="s">
        <v>405</v>
      </c>
      <c r="D32" s="61"/>
    </row>
    <row r="33" spans="1:4" x14ac:dyDescent="0.35">
      <c r="A33" s="3" t="s">
        <v>826</v>
      </c>
      <c r="B33" s="2" t="s">
        <v>404</v>
      </c>
      <c r="C33" s="2" t="s">
        <v>405</v>
      </c>
      <c r="D33" s="61"/>
    </row>
    <row r="34" spans="1:4" x14ac:dyDescent="0.35">
      <c r="A34" s="3" t="s">
        <v>684</v>
      </c>
      <c r="B34" s="2" t="s">
        <v>404</v>
      </c>
      <c r="C34" s="2" t="s">
        <v>405</v>
      </c>
      <c r="D34" s="61" t="s">
        <v>685</v>
      </c>
    </row>
    <row r="35" spans="1:4" x14ac:dyDescent="0.35">
      <c r="A35" s="3" t="s">
        <v>686</v>
      </c>
      <c r="B35" s="2" t="s">
        <v>404</v>
      </c>
      <c r="C35" s="2" t="s">
        <v>405</v>
      </c>
      <c r="D35" s="61"/>
    </row>
    <row r="36" spans="1:4" x14ac:dyDescent="0.35">
      <c r="A36" s="3" t="s">
        <v>827</v>
      </c>
      <c r="B36" s="2" t="s">
        <v>404</v>
      </c>
      <c r="C36" s="2" t="s">
        <v>405</v>
      </c>
      <c r="D36" s="61"/>
    </row>
    <row r="37" spans="1:4" x14ac:dyDescent="0.35">
      <c r="A37" s="3" t="s">
        <v>828</v>
      </c>
      <c r="B37" s="2" t="s">
        <v>404</v>
      </c>
      <c r="C37" s="2" t="s">
        <v>405</v>
      </c>
      <c r="D37" s="57"/>
    </row>
    <row r="38" spans="1:4" x14ac:dyDescent="0.35">
      <c r="A38" s="3" t="s">
        <v>705</v>
      </c>
      <c r="B38" s="2" t="s">
        <v>404</v>
      </c>
      <c r="C38" s="2" t="s">
        <v>405</v>
      </c>
      <c r="D38" s="59" t="s">
        <v>829</v>
      </c>
    </row>
    <row r="39" spans="1:4" x14ac:dyDescent="0.35">
      <c r="A39" s="3" t="s">
        <v>707</v>
      </c>
      <c r="B39" s="2" t="s">
        <v>46</v>
      </c>
      <c r="C39" s="2" t="s">
        <v>405</v>
      </c>
      <c r="D39" s="64">
        <v>43237</v>
      </c>
    </row>
    <row r="40" spans="1:4" x14ac:dyDescent="0.35">
      <c r="A40" s="3" t="s">
        <v>709</v>
      </c>
      <c r="B40" s="2" t="s">
        <v>404</v>
      </c>
      <c r="C40" s="2" t="s">
        <v>405</v>
      </c>
      <c r="D40" s="59" t="s">
        <v>830</v>
      </c>
    </row>
    <row r="41" spans="1:4" x14ac:dyDescent="0.35">
      <c r="A41" s="3" t="s">
        <v>711</v>
      </c>
      <c r="B41" s="2" t="s">
        <v>404</v>
      </c>
      <c r="C41" s="2" t="s">
        <v>405</v>
      </c>
      <c r="D41" s="59">
        <v>42142819235</v>
      </c>
    </row>
    <row r="42" spans="1:4" x14ac:dyDescent="0.35">
      <c r="A42" s="3" t="s">
        <v>712</v>
      </c>
      <c r="B42" s="2" t="s">
        <v>404</v>
      </c>
      <c r="C42" s="2" t="s">
        <v>405</v>
      </c>
      <c r="D42" s="59"/>
    </row>
    <row r="43" spans="1:4" x14ac:dyDescent="0.35">
      <c r="A43" s="3" t="s">
        <v>713</v>
      </c>
      <c r="B43" s="2" t="s">
        <v>46</v>
      </c>
      <c r="C43" s="2" t="s">
        <v>405</v>
      </c>
      <c r="D43" s="64"/>
    </row>
    <row r="44" spans="1:4" x14ac:dyDescent="0.35">
      <c r="A44" s="3" t="s">
        <v>714</v>
      </c>
      <c r="B44" s="2" t="s">
        <v>404</v>
      </c>
      <c r="C44" s="2" t="s">
        <v>405</v>
      </c>
      <c r="D44" s="59"/>
    </row>
    <row r="45" spans="1:4" x14ac:dyDescent="0.35">
      <c r="A45" s="3" t="s">
        <v>715</v>
      </c>
      <c r="B45" s="2" t="s">
        <v>404</v>
      </c>
      <c r="C45" s="2" t="s">
        <v>405</v>
      </c>
      <c r="D45" s="59"/>
    </row>
    <row r="46" spans="1:4" x14ac:dyDescent="0.35">
      <c r="A46" s="3" t="s">
        <v>716</v>
      </c>
      <c r="B46" s="2" t="s">
        <v>404</v>
      </c>
      <c r="C46" s="2" t="s">
        <v>405</v>
      </c>
      <c r="D46" s="59" t="s">
        <v>831</v>
      </c>
    </row>
    <row r="47" spans="1:4" x14ac:dyDescent="0.35">
      <c r="A47" s="3" t="s">
        <v>718</v>
      </c>
      <c r="B47" s="2" t="s">
        <v>46</v>
      </c>
      <c r="C47" s="2" t="s">
        <v>405</v>
      </c>
      <c r="D47" s="64">
        <v>43910</v>
      </c>
    </row>
    <row r="48" spans="1:4" x14ac:dyDescent="0.35">
      <c r="A48" s="3" t="s">
        <v>720</v>
      </c>
      <c r="B48" s="2" t="s">
        <v>404</v>
      </c>
      <c r="C48" s="2" t="s">
        <v>405</v>
      </c>
      <c r="D48" s="59" t="s">
        <v>832</v>
      </c>
    </row>
    <row r="49" spans="1:4" x14ac:dyDescent="0.35">
      <c r="A49" s="3" t="s">
        <v>722</v>
      </c>
      <c r="B49" s="2" t="s">
        <v>404</v>
      </c>
      <c r="C49" s="2" t="s">
        <v>405</v>
      </c>
      <c r="D49" s="59" t="s">
        <v>833</v>
      </c>
    </row>
    <row r="50" spans="1:4" x14ac:dyDescent="0.35">
      <c r="A50" s="3" t="s">
        <v>723</v>
      </c>
      <c r="B50" s="2" t="s">
        <v>404</v>
      </c>
      <c r="C50" s="2" t="s">
        <v>405</v>
      </c>
      <c r="D50" s="57"/>
    </row>
    <row r="51" spans="1:4" x14ac:dyDescent="0.35">
      <c r="A51" s="3" t="s">
        <v>724</v>
      </c>
      <c r="B51" s="2" t="s">
        <v>46</v>
      </c>
      <c r="C51" s="2" t="s">
        <v>405</v>
      </c>
      <c r="D51" s="57"/>
    </row>
    <row r="52" spans="1:4" x14ac:dyDescent="0.35">
      <c r="A52" s="3" t="s">
        <v>725</v>
      </c>
      <c r="B52" s="2" t="s">
        <v>404</v>
      </c>
      <c r="C52" s="2" t="s">
        <v>405</v>
      </c>
      <c r="D52" s="57"/>
    </row>
    <row r="53" spans="1:4" x14ac:dyDescent="0.35">
      <c r="A53" s="3" t="s">
        <v>834</v>
      </c>
      <c r="B53" s="2" t="s">
        <v>404</v>
      </c>
      <c r="C53" s="2" t="s">
        <v>405</v>
      </c>
      <c r="D53" s="57"/>
    </row>
    <row r="54" spans="1:4" x14ac:dyDescent="0.35">
      <c r="A54" s="3" t="s">
        <v>727</v>
      </c>
      <c r="B54" s="2" t="s">
        <v>404</v>
      </c>
      <c r="C54" s="2" t="s">
        <v>405</v>
      </c>
      <c r="D54" s="57"/>
    </row>
    <row r="55" spans="1:4" x14ac:dyDescent="0.35">
      <c r="A55" s="3" t="s">
        <v>728</v>
      </c>
      <c r="B55" s="2" t="s">
        <v>46</v>
      </c>
      <c r="C55" s="2" t="s">
        <v>405</v>
      </c>
      <c r="D55" s="57"/>
    </row>
    <row r="56" spans="1:4" x14ac:dyDescent="0.35">
      <c r="A56" s="3" t="s">
        <v>729</v>
      </c>
      <c r="B56" s="2" t="s">
        <v>404</v>
      </c>
      <c r="C56" s="2" t="s">
        <v>405</v>
      </c>
      <c r="D56" s="57"/>
    </row>
    <row r="57" spans="1:4" x14ac:dyDescent="0.35">
      <c r="A57" s="3" t="s">
        <v>835</v>
      </c>
      <c r="B57" s="2" t="s">
        <v>404</v>
      </c>
      <c r="C57" s="2" t="s">
        <v>405</v>
      </c>
      <c r="D57" s="57"/>
    </row>
    <row r="58" spans="1:4" x14ac:dyDescent="0.35">
      <c r="A58" s="3" t="s">
        <v>731</v>
      </c>
      <c r="B58" s="2" t="s">
        <v>404</v>
      </c>
      <c r="C58" s="2" t="s">
        <v>405</v>
      </c>
      <c r="D58" s="57"/>
    </row>
    <row r="59" spans="1:4" x14ac:dyDescent="0.35">
      <c r="A59" s="3" t="s">
        <v>732</v>
      </c>
      <c r="B59" s="2" t="s">
        <v>46</v>
      </c>
      <c r="C59" s="2" t="s">
        <v>405</v>
      </c>
      <c r="D59" s="57"/>
    </row>
    <row r="60" spans="1:4" x14ac:dyDescent="0.35">
      <c r="A60" s="3" t="s">
        <v>733</v>
      </c>
      <c r="B60" s="2" t="s">
        <v>404</v>
      </c>
      <c r="C60" s="2" t="s">
        <v>405</v>
      </c>
      <c r="D60" s="57"/>
    </row>
    <row r="61" spans="1:4" x14ac:dyDescent="0.35">
      <c r="A61" s="3" t="s">
        <v>734</v>
      </c>
      <c r="B61" s="2" t="s">
        <v>404</v>
      </c>
      <c r="C61" s="2" t="s">
        <v>405</v>
      </c>
      <c r="D61" s="57"/>
    </row>
    <row r="62" spans="1:4" x14ac:dyDescent="0.35">
      <c r="A62" s="3" t="s">
        <v>735</v>
      </c>
      <c r="B62" s="2" t="s">
        <v>404</v>
      </c>
      <c r="C62" s="2" t="s">
        <v>405</v>
      </c>
      <c r="D62" s="59"/>
    </row>
    <row r="63" spans="1:4" x14ac:dyDescent="0.35">
      <c r="A63" s="3" t="s">
        <v>736</v>
      </c>
      <c r="B63" s="2" t="s">
        <v>46</v>
      </c>
      <c r="C63" s="2" t="s">
        <v>405</v>
      </c>
      <c r="D63" s="59"/>
    </row>
    <row r="64" spans="1:4" x14ac:dyDescent="0.35">
      <c r="A64" s="3" t="s">
        <v>737</v>
      </c>
      <c r="B64" s="2" t="s">
        <v>404</v>
      </c>
      <c r="C64" s="2" t="s">
        <v>405</v>
      </c>
      <c r="D64" s="59"/>
    </row>
    <row r="65" spans="1:4" x14ac:dyDescent="0.35">
      <c r="A65" s="3" t="s">
        <v>738</v>
      </c>
      <c r="B65" s="2" t="s">
        <v>404</v>
      </c>
      <c r="C65" s="2" t="s">
        <v>405</v>
      </c>
      <c r="D65" s="59"/>
    </row>
    <row r="66" spans="1:4" x14ac:dyDescent="0.35">
      <c r="A66" s="3" t="s">
        <v>739</v>
      </c>
      <c r="B66" s="2" t="s">
        <v>404</v>
      </c>
      <c r="C66" s="2" t="s">
        <v>405</v>
      </c>
      <c r="D66" s="59"/>
    </row>
    <row r="67" spans="1:4" x14ac:dyDescent="0.35">
      <c r="A67" s="3" t="s">
        <v>740</v>
      </c>
      <c r="B67" s="2" t="s">
        <v>46</v>
      </c>
      <c r="C67" s="2" t="s">
        <v>405</v>
      </c>
      <c r="D67" s="59"/>
    </row>
    <row r="68" spans="1:4" x14ac:dyDescent="0.35">
      <c r="A68" s="3" t="s">
        <v>741</v>
      </c>
      <c r="B68" s="2" t="s">
        <v>404</v>
      </c>
      <c r="C68" s="2" t="s">
        <v>405</v>
      </c>
      <c r="D68" s="59"/>
    </row>
    <row r="69" spans="1:4" x14ac:dyDescent="0.35">
      <c r="A69" s="3" t="s">
        <v>742</v>
      </c>
      <c r="B69" s="2" t="s">
        <v>404</v>
      </c>
      <c r="C69" s="2" t="s">
        <v>405</v>
      </c>
      <c r="D69" s="59"/>
    </row>
    <row r="70" spans="1:4" x14ac:dyDescent="0.35">
      <c r="A70" s="3" t="s">
        <v>743</v>
      </c>
      <c r="B70" s="2" t="s">
        <v>404</v>
      </c>
      <c r="C70" s="2" t="s">
        <v>405</v>
      </c>
      <c r="D70" s="59"/>
    </row>
    <row r="71" spans="1:4" x14ac:dyDescent="0.35">
      <c r="A71" s="3" t="s">
        <v>744</v>
      </c>
      <c r="B71" s="2" t="s">
        <v>46</v>
      </c>
      <c r="C71" s="2" t="s">
        <v>405</v>
      </c>
      <c r="D71" s="59"/>
    </row>
    <row r="72" spans="1:4" x14ac:dyDescent="0.35">
      <c r="A72" s="3" t="s">
        <v>745</v>
      </c>
      <c r="B72" s="2" t="s">
        <v>404</v>
      </c>
      <c r="C72" s="2" t="s">
        <v>405</v>
      </c>
      <c r="D72" s="59"/>
    </row>
    <row r="73" spans="1:4" x14ac:dyDescent="0.35">
      <c r="A73" s="3" t="s">
        <v>746</v>
      </c>
      <c r="B73" s="2" t="s">
        <v>404</v>
      </c>
      <c r="C73" s="2" t="s">
        <v>405</v>
      </c>
      <c r="D73" s="59"/>
    </row>
    <row r="74" spans="1:4" x14ac:dyDescent="0.35">
      <c r="A74" s="3" t="s">
        <v>747</v>
      </c>
      <c r="B74" s="2" t="s">
        <v>404</v>
      </c>
      <c r="C74" s="2" t="s">
        <v>405</v>
      </c>
      <c r="D74" s="59"/>
    </row>
    <row r="75" spans="1:4" x14ac:dyDescent="0.35">
      <c r="A75" s="3" t="s">
        <v>748</v>
      </c>
      <c r="B75" s="2" t="s">
        <v>46</v>
      </c>
      <c r="C75" s="2" t="s">
        <v>405</v>
      </c>
      <c r="D75" s="59"/>
    </row>
    <row r="76" spans="1:4" x14ac:dyDescent="0.35">
      <c r="A76" s="3" t="s">
        <v>749</v>
      </c>
      <c r="B76" s="2" t="s">
        <v>404</v>
      </c>
      <c r="C76" s="2" t="s">
        <v>405</v>
      </c>
      <c r="D76" s="59"/>
    </row>
    <row r="77" spans="1:4" x14ac:dyDescent="0.35">
      <c r="A77" s="3" t="s">
        <v>750</v>
      </c>
      <c r="B77" s="2" t="s">
        <v>404</v>
      </c>
      <c r="C77" s="2" t="s">
        <v>405</v>
      </c>
      <c r="D77" s="59"/>
    </row>
    <row r="78" spans="1:4" x14ac:dyDescent="0.35">
      <c r="A78" s="3" t="s">
        <v>751</v>
      </c>
      <c r="B78" s="2" t="s">
        <v>404</v>
      </c>
      <c r="C78" s="2" t="s">
        <v>405</v>
      </c>
      <c r="D78" s="59"/>
    </row>
    <row r="79" spans="1:4" x14ac:dyDescent="0.35">
      <c r="A79" s="3" t="s">
        <v>752</v>
      </c>
      <c r="B79" s="2" t="s">
        <v>46</v>
      </c>
      <c r="C79" s="2" t="s">
        <v>405</v>
      </c>
      <c r="D79" s="59"/>
    </row>
    <row r="80" spans="1:4" x14ac:dyDescent="0.35">
      <c r="A80" s="3" t="s">
        <v>753</v>
      </c>
      <c r="B80" s="2" t="s">
        <v>404</v>
      </c>
      <c r="C80" s="2" t="s">
        <v>405</v>
      </c>
      <c r="D80" s="59"/>
    </row>
    <row r="81" spans="1:4" x14ac:dyDescent="0.35">
      <c r="A81" s="3" t="s">
        <v>754</v>
      </c>
      <c r="B81" s="2" t="s">
        <v>404</v>
      </c>
      <c r="C81" s="2" t="s">
        <v>405</v>
      </c>
      <c r="D81" s="59"/>
    </row>
    <row r="82" spans="1:4" x14ac:dyDescent="0.35">
      <c r="A82" s="3" t="s">
        <v>836</v>
      </c>
      <c r="B82" s="2" t="s">
        <v>404</v>
      </c>
      <c r="C82" s="2" t="s">
        <v>405</v>
      </c>
      <c r="D82" s="59"/>
    </row>
    <row r="83" spans="1:4" x14ac:dyDescent="0.35">
      <c r="A83" s="3" t="s">
        <v>837</v>
      </c>
      <c r="B83" s="2" t="s">
        <v>46</v>
      </c>
      <c r="C83" s="2" t="s">
        <v>405</v>
      </c>
      <c r="D83" s="59"/>
    </row>
    <row r="84" spans="1:4" x14ac:dyDescent="0.35">
      <c r="A84" s="3" t="s">
        <v>838</v>
      </c>
      <c r="B84" s="2" t="s">
        <v>404</v>
      </c>
      <c r="C84" s="2" t="s">
        <v>405</v>
      </c>
      <c r="D84" s="59"/>
    </row>
    <row r="85" spans="1:4" x14ac:dyDescent="0.35">
      <c r="A85" s="3" t="s">
        <v>839</v>
      </c>
      <c r="B85" s="2" t="s">
        <v>404</v>
      </c>
      <c r="C85" s="2" t="s">
        <v>405</v>
      </c>
      <c r="D85" s="59"/>
    </row>
    <row r="86" spans="1:4" x14ac:dyDescent="0.35">
      <c r="A86" s="3" t="s">
        <v>755</v>
      </c>
      <c r="B86" s="2" t="s">
        <v>404</v>
      </c>
      <c r="C86" s="2" t="s">
        <v>405</v>
      </c>
      <c r="D86" s="59"/>
    </row>
    <row r="87" spans="1:4" x14ac:dyDescent="0.35">
      <c r="A87" s="3" t="s">
        <v>756</v>
      </c>
      <c r="B87" s="2" t="s">
        <v>46</v>
      </c>
      <c r="C87" s="2" t="s">
        <v>405</v>
      </c>
      <c r="D87" s="65"/>
    </row>
    <row r="88" spans="1:4" x14ac:dyDescent="0.35">
      <c r="A88" s="3" t="s">
        <v>840</v>
      </c>
      <c r="B88" s="2" t="s">
        <v>404</v>
      </c>
      <c r="C88" s="2" t="s">
        <v>405</v>
      </c>
      <c r="D88" s="59"/>
    </row>
    <row r="89" spans="1:4" x14ac:dyDescent="0.35">
      <c r="A89" s="3" t="s">
        <v>841</v>
      </c>
      <c r="B89" s="2" t="s">
        <v>404</v>
      </c>
      <c r="C89" s="2" t="s">
        <v>405</v>
      </c>
      <c r="D89" s="59"/>
    </row>
    <row r="90" spans="1:4" x14ac:dyDescent="0.35">
      <c r="A90" s="3" t="s">
        <v>759</v>
      </c>
      <c r="B90" s="2" t="s">
        <v>404</v>
      </c>
      <c r="C90" s="2" t="s">
        <v>405</v>
      </c>
      <c r="D90" s="59"/>
    </row>
    <row r="91" spans="1:4" x14ac:dyDescent="0.35">
      <c r="A91" s="3" t="s">
        <v>760</v>
      </c>
      <c r="B91" s="2" t="s">
        <v>46</v>
      </c>
      <c r="C91" s="2" t="s">
        <v>405</v>
      </c>
      <c r="D91" s="59"/>
    </row>
    <row r="92" spans="1:4" x14ac:dyDescent="0.35">
      <c r="A92" s="3" t="s">
        <v>842</v>
      </c>
      <c r="B92" s="2" t="s">
        <v>404</v>
      </c>
      <c r="C92" s="2" t="s">
        <v>405</v>
      </c>
      <c r="D92" s="59"/>
    </row>
    <row r="93" spans="1:4" x14ac:dyDescent="0.35">
      <c r="A93" s="3" t="s">
        <v>843</v>
      </c>
      <c r="B93" s="2" t="s">
        <v>404</v>
      </c>
      <c r="C93" s="2" t="s">
        <v>405</v>
      </c>
      <c r="D93" s="59"/>
    </row>
    <row r="94" spans="1:4" x14ac:dyDescent="0.35">
      <c r="A94" s="3" t="s">
        <v>763</v>
      </c>
      <c r="B94" s="2" t="s">
        <v>404</v>
      </c>
      <c r="C94" s="2" t="s">
        <v>405</v>
      </c>
      <c r="D94" s="59"/>
    </row>
    <row r="95" spans="1:4" x14ac:dyDescent="0.35">
      <c r="A95" s="3" t="s">
        <v>764</v>
      </c>
      <c r="B95" s="2" t="s">
        <v>46</v>
      </c>
      <c r="C95" s="2" t="s">
        <v>405</v>
      </c>
      <c r="D95" s="64"/>
    </row>
    <row r="96" spans="1:4" x14ac:dyDescent="0.35">
      <c r="A96" s="3" t="s">
        <v>844</v>
      </c>
      <c r="B96" s="2" t="s">
        <v>404</v>
      </c>
      <c r="C96" s="2" t="s">
        <v>405</v>
      </c>
      <c r="D96" s="59"/>
    </row>
    <row r="97" spans="1:4" x14ac:dyDescent="0.35">
      <c r="A97" s="3" t="s">
        <v>845</v>
      </c>
      <c r="B97" s="2" t="s">
        <v>404</v>
      </c>
      <c r="C97" s="2" t="s">
        <v>405</v>
      </c>
      <c r="D97" s="59"/>
    </row>
    <row r="98" spans="1:4" x14ac:dyDescent="0.35">
      <c r="A98" s="3" t="s">
        <v>767</v>
      </c>
      <c r="B98" s="2" t="s">
        <v>404</v>
      </c>
      <c r="C98" s="2" t="s">
        <v>405</v>
      </c>
      <c r="D98" s="59"/>
    </row>
    <row r="99" spans="1:4" x14ac:dyDescent="0.35">
      <c r="A99" s="3" t="s">
        <v>768</v>
      </c>
      <c r="B99" s="2" t="s">
        <v>46</v>
      </c>
      <c r="C99" s="2" t="s">
        <v>405</v>
      </c>
      <c r="D99" s="59"/>
    </row>
    <row r="100" spans="1:4" x14ac:dyDescent="0.35">
      <c r="A100" s="3" t="s">
        <v>846</v>
      </c>
      <c r="B100" s="2" t="s">
        <v>404</v>
      </c>
      <c r="C100" s="2" t="s">
        <v>405</v>
      </c>
      <c r="D100" s="59"/>
    </row>
    <row r="101" spans="1:4" x14ac:dyDescent="0.35">
      <c r="A101" s="3" t="s">
        <v>847</v>
      </c>
      <c r="B101" s="2" t="s">
        <v>404</v>
      </c>
      <c r="C101" s="2" t="s">
        <v>405</v>
      </c>
      <c r="D101" s="59"/>
    </row>
    <row r="102" spans="1:4" x14ac:dyDescent="0.35">
      <c r="A102" s="3" t="s">
        <v>771</v>
      </c>
      <c r="B102" s="2" t="s">
        <v>404</v>
      </c>
      <c r="C102" s="2" t="s">
        <v>405</v>
      </c>
      <c r="D102" s="59"/>
    </row>
    <row r="103" spans="1:4" x14ac:dyDescent="0.35">
      <c r="A103" s="3" t="s">
        <v>772</v>
      </c>
      <c r="B103" s="2" t="s">
        <v>46</v>
      </c>
      <c r="C103" s="2" t="s">
        <v>405</v>
      </c>
      <c r="D103" s="59"/>
    </row>
    <row r="104" spans="1:4" x14ac:dyDescent="0.35">
      <c r="A104" s="3" t="s">
        <v>773</v>
      </c>
      <c r="B104" s="2" t="s">
        <v>404</v>
      </c>
      <c r="C104" s="2" t="s">
        <v>405</v>
      </c>
      <c r="D104" s="59"/>
    </row>
    <row r="105" spans="1:4" x14ac:dyDescent="0.35">
      <c r="A105" s="3" t="s">
        <v>848</v>
      </c>
      <c r="B105" s="2" t="s">
        <v>404</v>
      </c>
      <c r="C105" s="2" t="s">
        <v>405</v>
      </c>
      <c r="D105" s="59"/>
    </row>
    <row r="106" spans="1:4" x14ac:dyDescent="0.35">
      <c r="A106" s="3" t="s">
        <v>775</v>
      </c>
      <c r="B106" s="2" t="s">
        <v>404</v>
      </c>
      <c r="C106" s="2" t="s">
        <v>405</v>
      </c>
      <c r="D106" s="59"/>
    </row>
    <row r="107" spans="1:4" x14ac:dyDescent="0.35">
      <c r="A107" s="3" t="s">
        <v>776</v>
      </c>
      <c r="B107" s="2" t="s">
        <v>46</v>
      </c>
      <c r="C107" s="2" t="s">
        <v>405</v>
      </c>
      <c r="D107" s="59"/>
    </row>
    <row r="108" spans="1:4" x14ac:dyDescent="0.35">
      <c r="A108" s="3" t="s">
        <v>777</v>
      </c>
      <c r="B108" s="2" t="s">
        <v>404</v>
      </c>
      <c r="C108" s="2" t="s">
        <v>405</v>
      </c>
      <c r="D108" s="59"/>
    </row>
    <row r="109" spans="1:4" x14ac:dyDescent="0.35">
      <c r="A109" s="3" t="s">
        <v>849</v>
      </c>
      <c r="B109" s="2" t="s">
        <v>404</v>
      </c>
      <c r="C109" s="2" t="s">
        <v>405</v>
      </c>
      <c r="D109" s="59"/>
    </row>
    <row r="110" spans="1:4" x14ac:dyDescent="0.35">
      <c r="A110" s="3" t="s">
        <v>850</v>
      </c>
      <c r="B110" s="2" t="s">
        <v>404</v>
      </c>
      <c r="C110" s="2" t="s">
        <v>405</v>
      </c>
      <c r="D110" s="59"/>
    </row>
    <row r="111" spans="1:4" x14ac:dyDescent="0.35">
      <c r="A111" s="3" t="s">
        <v>851</v>
      </c>
      <c r="B111" s="2" t="s">
        <v>46</v>
      </c>
      <c r="C111" s="2" t="s">
        <v>405</v>
      </c>
      <c r="D111" s="59"/>
    </row>
    <row r="112" spans="1:4" x14ac:dyDescent="0.35">
      <c r="A112" s="3" t="s">
        <v>852</v>
      </c>
      <c r="B112" s="2" t="s">
        <v>404</v>
      </c>
      <c r="C112" s="2" t="s">
        <v>405</v>
      </c>
      <c r="D112" s="59"/>
    </row>
    <row r="113" spans="1:4" x14ac:dyDescent="0.35">
      <c r="A113" s="3" t="s">
        <v>853</v>
      </c>
      <c r="B113" s="2" t="s">
        <v>404</v>
      </c>
      <c r="C113" s="2" t="s">
        <v>405</v>
      </c>
      <c r="D113" s="59"/>
    </row>
    <row r="114" spans="1:4" x14ac:dyDescent="0.35">
      <c r="A114" s="3" t="s">
        <v>854</v>
      </c>
      <c r="B114" s="2" t="s">
        <v>404</v>
      </c>
      <c r="C114" s="2" t="s">
        <v>405</v>
      </c>
      <c r="D114" s="59" t="s">
        <v>689</v>
      </c>
    </row>
    <row r="115" spans="1:4" x14ac:dyDescent="0.35">
      <c r="A115" s="3" t="s">
        <v>784</v>
      </c>
      <c r="B115" s="2" t="s">
        <v>404</v>
      </c>
      <c r="C115" s="2" t="s">
        <v>405</v>
      </c>
      <c r="D115" s="59" t="s">
        <v>689</v>
      </c>
    </row>
    <row r="116" spans="1:4" x14ac:dyDescent="0.35">
      <c r="A116" s="3" t="s">
        <v>785</v>
      </c>
      <c r="B116" s="2" t="s">
        <v>404</v>
      </c>
      <c r="C116" s="2" t="s">
        <v>405</v>
      </c>
      <c r="D116" s="59" t="s">
        <v>689</v>
      </c>
    </row>
    <row r="117" spans="1:4" x14ac:dyDescent="0.35">
      <c r="A117" s="3" t="s">
        <v>786</v>
      </c>
      <c r="B117" s="2" t="s">
        <v>404</v>
      </c>
      <c r="C117" s="2" t="s">
        <v>405</v>
      </c>
      <c r="D117" s="59" t="s">
        <v>689</v>
      </c>
    </row>
    <row r="118" spans="1:4" x14ac:dyDescent="0.35">
      <c r="A118" s="3" t="s">
        <v>787</v>
      </c>
      <c r="B118" s="2" t="s">
        <v>404</v>
      </c>
      <c r="C118" s="2" t="s">
        <v>405</v>
      </c>
      <c r="D118" s="59" t="s">
        <v>689</v>
      </c>
    </row>
    <row r="119" spans="1:4" x14ac:dyDescent="0.35">
      <c r="A119" s="3" t="s">
        <v>788</v>
      </c>
      <c r="B119" s="2" t="s">
        <v>404</v>
      </c>
      <c r="C119" s="2" t="s">
        <v>405</v>
      </c>
      <c r="D119" s="59" t="s">
        <v>689</v>
      </c>
    </row>
    <row r="120" spans="1:4" x14ac:dyDescent="0.35">
      <c r="A120" s="3" t="s">
        <v>789</v>
      </c>
      <c r="B120" s="2" t="s">
        <v>404</v>
      </c>
      <c r="C120" s="2" t="s">
        <v>405</v>
      </c>
      <c r="D120" s="59" t="s">
        <v>689</v>
      </c>
    </row>
    <row r="121" spans="1:4" x14ac:dyDescent="0.35">
      <c r="A121" s="3" t="s">
        <v>790</v>
      </c>
      <c r="B121" s="2" t="s">
        <v>404</v>
      </c>
      <c r="C121" s="2" t="s">
        <v>405</v>
      </c>
      <c r="D121" s="59" t="s">
        <v>689</v>
      </c>
    </row>
    <row r="122" spans="1:4" x14ac:dyDescent="0.35">
      <c r="A122" s="3" t="s">
        <v>791</v>
      </c>
      <c r="B122" s="2" t="s">
        <v>404</v>
      </c>
      <c r="C122" s="2" t="s">
        <v>405</v>
      </c>
      <c r="D122" s="59" t="s">
        <v>689</v>
      </c>
    </row>
    <row r="123" spans="1:4" x14ac:dyDescent="0.35">
      <c r="A123" s="3" t="s">
        <v>792</v>
      </c>
      <c r="B123" s="2" t="s">
        <v>404</v>
      </c>
      <c r="C123" s="2" t="s">
        <v>405</v>
      </c>
      <c r="D123" s="59" t="s">
        <v>689</v>
      </c>
    </row>
    <row r="124" spans="1:4" x14ac:dyDescent="0.35">
      <c r="A124" s="3" t="s">
        <v>793</v>
      </c>
      <c r="B124" s="2" t="s">
        <v>404</v>
      </c>
      <c r="C124" s="2" t="s">
        <v>405</v>
      </c>
      <c r="D124" s="59" t="s">
        <v>689</v>
      </c>
    </row>
    <row r="125" spans="1:4" x14ac:dyDescent="0.35">
      <c r="A125" s="3" t="s">
        <v>794</v>
      </c>
      <c r="B125" s="2" t="s">
        <v>404</v>
      </c>
      <c r="C125" s="2" t="s">
        <v>405</v>
      </c>
      <c r="D125" s="59" t="s">
        <v>689</v>
      </c>
    </row>
    <row r="126" spans="1:4" x14ac:dyDescent="0.35">
      <c r="A126" s="3" t="s">
        <v>795</v>
      </c>
      <c r="B126" s="2" t="s">
        <v>404</v>
      </c>
      <c r="C126" s="2" t="s">
        <v>405</v>
      </c>
      <c r="D126" s="59" t="s">
        <v>689</v>
      </c>
    </row>
    <row r="127" spans="1:4" x14ac:dyDescent="0.35">
      <c r="A127" s="3" t="s">
        <v>796</v>
      </c>
      <c r="B127" s="2" t="s">
        <v>404</v>
      </c>
      <c r="C127" s="2" t="s">
        <v>405</v>
      </c>
      <c r="D127" s="59" t="s">
        <v>689</v>
      </c>
    </row>
    <row r="128" spans="1:4" x14ac:dyDescent="0.35">
      <c r="A128" s="3" t="s">
        <v>797</v>
      </c>
      <c r="B128" s="2" t="s">
        <v>404</v>
      </c>
      <c r="C128" s="2" t="s">
        <v>405</v>
      </c>
      <c r="D128" s="59" t="s">
        <v>689</v>
      </c>
    </row>
    <row r="129" spans="1:4" x14ac:dyDescent="0.35">
      <c r="A129" s="3" t="s">
        <v>798</v>
      </c>
      <c r="B129" s="2" t="s">
        <v>404</v>
      </c>
      <c r="C129" s="2" t="s">
        <v>405</v>
      </c>
      <c r="D129" s="59" t="s">
        <v>689</v>
      </c>
    </row>
    <row r="130" spans="1:4" x14ac:dyDescent="0.35">
      <c r="A130" s="3" t="s">
        <v>799</v>
      </c>
      <c r="B130" s="2" t="s">
        <v>404</v>
      </c>
      <c r="C130" s="2" t="s">
        <v>405</v>
      </c>
      <c r="D130" s="59" t="s">
        <v>689</v>
      </c>
    </row>
    <row r="131" spans="1:4" x14ac:dyDescent="0.35">
      <c r="A131" s="3" t="s">
        <v>855</v>
      </c>
      <c r="B131" s="2" t="s">
        <v>404</v>
      </c>
      <c r="C131" s="2" t="s">
        <v>405</v>
      </c>
      <c r="D131" s="59" t="s">
        <v>689</v>
      </c>
    </row>
    <row r="132" spans="1:4" x14ac:dyDescent="0.35">
      <c r="A132" s="3" t="s">
        <v>388</v>
      </c>
      <c r="B132" s="2" t="s">
        <v>404</v>
      </c>
      <c r="C132" s="2" t="s">
        <v>405</v>
      </c>
      <c r="D132" s="59"/>
    </row>
    <row r="133" spans="1:4" x14ac:dyDescent="0.35">
      <c r="A133" s="3" t="s">
        <v>801</v>
      </c>
      <c r="B133" s="2" t="s">
        <v>404</v>
      </c>
      <c r="C133" s="2" t="s">
        <v>405</v>
      </c>
      <c r="D133" s="57"/>
    </row>
    <row r="134" spans="1:4" x14ac:dyDescent="0.35">
      <c r="A134" s="3" t="s">
        <v>802</v>
      </c>
      <c r="B134" s="2" t="s">
        <v>404</v>
      </c>
      <c r="C134" s="2" t="s">
        <v>405</v>
      </c>
      <c r="D134" s="59"/>
    </row>
    <row r="135" spans="1:4" x14ac:dyDescent="0.35">
      <c r="A135" s="3" t="s">
        <v>388</v>
      </c>
      <c r="B135" s="2" t="s">
        <v>404</v>
      </c>
      <c r="C135" s="2" t="s">
        <v>405</v>
      </c>
      <c r="D135" s="59"/>
    </row>
    <row r="136" spans="1:4" x14ac:dyDescent="0.35">
      <c r="A136" s="3" t="s">
        <v>805</v>
      </c>
      <c r="B136" s="2" t="s">
        <v>404</v>
      </c>
      <c r="C136" s="2" t="s">
        <v>405</v>
      </c>
      <c r="D136" s="57" t="s">
        <v>806</v>
      </c>
    </row>
    <row r="137" spans="1:4" x14ac:dyDescent="0.35">
      <c r="A137" s="3" t="s">
        <v>856</v>
      </c>
      <c r="B137" s="2" t="s">
        <v>404</v>
      </c>
      <c r="C137" s="2" t="s">
        <v>405</v>
      </c>
      <c r="D137" s="62" t="s">
        <v>430</v>
      </c>
    </row>
    <row r="138" spans="1:4" x14ac:dyDescent="0.35">
      <c r="A138" s="3" t="s">
        <v>802</v>
      </c>
      <c r="B138" s="2" t="s">
        <v>404</v>
      </c>
      <c r="C138" s="3" t="s">
        <v>405</v>
      </c>
      <c r="D138" s="57"/>
    </row>
    <row r="139" spans="1:4" x14ac:dyDescent="0.35">
      <c r="A139" s="3" t="s">
        <v>803</v>
      </c>
      <c r="B139" s="2" t="s">
        <v>404</v>
      </c>
      <c r="C139" s="3" t="s">
        <v>405</v>
      </c>
      <c r="D139" s="57"/>
    </row>
    <row r="140" spans="1:4" x14ac:dyDescent="0.35">
      <c r="A140" s="3" t="s">
        <v>804</v>
      </c>
      <c r="B140" s="2" t="s">
        <v>404</v>
      </c>
      <c r="C140" s="3" t="s">
        <v>405</v>
      </c>
      <c r="D140" s="57"/>
    </row>
    <row r="141" spans="1:4" x14ac:dyDescent="0.35">
      <c r="A141" s="3" t="s">
        <v>388</v>
      </c>
      <c r="B141" s="2" t="s">
        <v>404</v>
      </c>
      <c r="C141" s="3" t="s">
        <v>405</v>
      </c>
      <c r="D141" s="57"/>
    </row>
    <row r="142" spans="1:4" x14ac:dyDescent="0.35">
      <c r="A142" s="3" t="s">
        <v>805</v>
      </c>
      <c r="B142" s="2" t="s">
        <v>404</v>
      </c>
      <c r="C142" s="3" t="s">
        <v>405</v>
      </c>
      <c r="D142" s="57" t="s">
        <v>806</v>
      </c>
    </row>
  </sheetData>
  <conditionalFormatting sqref="D68 D3">
    <cfRule type="duplicateValues" dxfId="9" priority="2"/>
  </conditionalFormatting>
  <conditionalFormatting sqref="D3">
    <cfRule type="duplicateValues" dxfId="8" priority="1"/>
  </conditionalFormatting>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2"/>
  <sheetViews>
    <sheetView workbookViewId="0">
      <selection activeCell="A3" sqref="A3"/>
    </sheetView>
  </sheetViews>
  <sheetFormatPr defaultColWidth="27.08984375" defaultRowHeight="14.5" x14ac:dyDescent="0.35"/>
  <sheetData>
    <row r="1" spans="1:4" x14ac:dyDescent="0.35">
      <c r="A1" s="1" t="s">
        <v>578</v>
      </c>
      <c r="B1" s="1" t="s">
        <v>401</v>
      </c>
      <c r="C1" s="1" t="s">
        <v>402</v>
      </c>
      <c r="D1" s="1" t="s">
        <v>126</v>
      </c>
    </row>
    <row r="2" spans="1:4" x14ac:dyDescent="0.35">
      <c r="A2" s="3" t="s">
        <v>658</v>
      </c>
      <c r="B2" s="2" t="s">
        <v>404</v>
      </c>
      <c r="C2" s="3" t="s">
        <v>405</v>
      </c>
      <c r="D2" s="54" t="s">
        <v>659</v>
      </c>
    </row>
    <row r="3" spans="1:4" x14ac:dyDescent="0.35">
      <c r="A3" t="s">
        <v>24</v>
      </c>
      <c r="B3" s="2" t="s">
        <v>404</v>
      </c>
      <c r="C3" s="3" t="s">
        <v>405</v>
      </c>
      <c r="D3" s="55" t="s">
        <v>660</v>
      </c>
    </row>
    <row r="4" spans="1:4" x14ac:dyDescent="0.35">
      <c r="A4" t="s">
        <v>80</v>
      </c>
      <c r="B4" s="2" t="s">
        <v>404</v>
      </c>
      <c r="C4" s="3" t="s">
        <v>405</v>
      </c>
      <c r="D4" s="56">
        <v>151200500189202</v>
      </c>
    </row>
    <row r="5" spans="1:4" x14ac:dyDescent="0.35">
      <c r="A5" t="s">
        <v>580</v>
      </c>
      <c r="B5" s="2" t="s">
        <v>404</v>
      </c>
      <c r="C5" s="3" t="s">
        <v>405</v>
      </c>
      <c r="D5" s="57">
        <v>667195</v>
      </c>
    </row>
    <row r="6" spans="1:4" x14ac:dyDescent="0.35">
      <c r="A6" s="3" t="s">
        <v>278</v>
      </c>
      <c r="B6" s="2" t="s">
        <v>404</v>
      </c>
      <c r="C6" s="3" t="s">
        <v>405</v>
      </c>
      <c r="D6" s="57" t="s">
        <v>661</v>
      </c>
    </row>
    <row r="7" spans="1:4" x14ac:dyDescent="0.35">
      <c r="A7" s="3" t="s">
        <v>662</v>
      </c>
      <c r="B7" s="2" t="s">
        <v>404</v>
      </c>
      <c r="C7" s="3" t="s">
        <v>405</v>
      </c>
      <c r="D7" s="57" t="s">
        <v>663</v>
      </c>
    </row>
    <row r="8" spans="1:4" x14ac:dyDescent="0.35">
      <c r="A8" s="3" t="s">
        <v>664</v>
      </c>
      <c r="B8" s="2" t="s">
        <v>404</v>
      </c>
      <c r="C8" s="3" t="s">
        <v>405</v>
      </c>
      <c r="D8" s="57" t="s">
        <v>665</v>
      </c>
    </row>
    <row r="9" spans="1:4" x14ac:dyDescent="0.35">
      <c r="A9" s="3" t="s">
        <v>263</v>
      </c>
      <c r="B9" s="2" t="s">
        <v>404</v>
      </c>
      <c r="C9" s="3" t="s">
        <v>405</v>
      </c>
      <c r="D9" s="56" t="s">
        <v>666</v>
      </c>
    </row>
    <row r="10" spans="1:4" x14ac:dyDescent="0.35">
      <c r="A10" s="3" t="s">
        <v>667</v>
      </c>
      <c r="B10" s="2" t="s">
        <v>404</v>
      </c>
      <c r="C10" s="3" t="s">
        <v>405</v>
      </c>
      <c r="D10" s="56">
        <v>50</v>
      </c>
    </row>
    <row r="11" spans="1:4" x14ac:dyDescent="0.35">
      <c r="A11" s="3" t="s">
        <v>262</v>
      </c>
      <c r="B11" s="2" t="s">
        <v>404</v>
      </c>
      <c r="C11" s="3" t="s">
        <v>405</v>
      </c>
      <c r="D11" s="56" t="s">
        <v>666</v>
      </c>
    </row>
    <row r="12" spans="1:4" x14ac:dyDescent="0.35">
      <c r="A12" s="3" t="s">
        <v>668</v>
      </c>
      <c r="B12" s="2" t="s">
        <v>404</v>
      </c>
      <c r="C12" s="3" t="s">
        <v>405</v>
      </c>
      <c r="D12" s="56">
        <v>45</v>
      </c>
    </row>
    <row r="13" spans="1:4" x14ac:dyDescent="0.35">
      <c r="A13" s="3" t="s">
        <v>669</v>
      </c>
      <c r="B13" s="2" t="s">
        <v>404</v>
      </c>
      <c r="C13" s="3" t="s">
        <v>405</v>
      </c>
      <c r="D13" s="58">
        <v>1.1395968999999999</v>
      </c>
    </row>
    <row r="14" spans="1:4" x14ac:dyDescent="0.35">
      <c r="A14" s="3" t="s">
        <v>592</v>
      </c>
      <c r="B14" s="2" t="s">
        <v>404</v>
      </c>
      <c r="C14" s="3" t="s">
        <v>405</v>
      </c>
      <c r="D14" s="57" t="s">
        <v>670</v>
      </c>
    </row>
    <row r="15" spans="1:4" x14ac:dyDescent="0.35">
      <c r="A15" s="3" t="s">
        <v>671</v>
      </c>
      <c r="B15" s="2" t="s">
        <v>404</v>
      </c>
      <c r="C15" s="3" t="s">
        <v>405</v>
      </c>
      <c r="D15" s="57" t="s">
        <v>672</v>
      </c>
    </row>
    <row r="16" spans="1:4" x14ac:dyDescent="0.35">
      <c r="A16" s="3" t="s">
        <v>34</v>
      </c>
      <c r="B16" s="2" t="s">
        <v>404</v>
      </c>
      <c r="C16" s="3" t="s">
        <v>405</v>
      </c>
      <c r="D16" s="57" t="s">
        <v>673</v>
      </c>
    </row>
    <row r="17" spans="1:4" x14ac:dyDescent="0.35">
      <c r="A17" s="3" t="s">
        <v>22</v>
      </c>
      <c r="B17" s="2" t="s">
        <v>404</v>
      </c>
      <c r="C17" s="3" t="s">
        <v>405</v>
      </c>
      <c r="D17" s="57" t="s">
        <v>674</v>
      </c>
    </row>
    <row r="18" spans="1:4" x14ac:dyDescent="0.35">
      <c r="A18" s="3" t="s">
        <v>7</v>
      </c>
      <c r="B18" s="2" t="s">
        <v>404</v>
      </c>
      <c r="C18" s="3" t="s">
        <v>405</v>
      </c>
      <c r="D18" s="55" t="s">
        <v>675</v>
      </c>
    </row>
    <row r="19" spans="1:4" x14ac:dyDescent="0.35">
      <c r="A19" s="3" t="s">
        <v>676</v>
      </c>
      <c r="B19" s="2" t="s">
        <v>404</v>
      </c>
      <c r="C19" s="3" t="s">
        <v>405</v>
      </c>
      <c r="D19" s="57"/>
    </row>
    <row r="20" spans="1:4" x14ac:dyDescent="0.35">
      <c r="A20" s="3" t="s">
        <v>677</v>
      </c>
      <c r="B20" s="2" t="s">
        <v>428</v>
      </c>
      <c r="C20" s="3" t="s">
        <v>405</v>
      </c>
      <c r="D20" s="55">
        <v>239982</v>
      </c>
    </row>
    <row r="21" spans="1:4" x14ac:dyDescent="0.35">
      <c r="A21" s="3" t="s">
        <v>678</v>
      </c>
      <c r="B21" s="2" t="s">
        <v>404</v>
      </c>
      <c r="C21" s="3" t="s">
        <v>405</v>
      </c>
      <c r="D21" s="59" t="s">
        <v>679</v>
      </c>
    </row>
    <row r="22" spans="1:4" x14ac:dyDescent="0.35">
      <c r="A22" s="3" t="s">
        <v>680</v>
      </c>
      <c r="B22" s="2" t="s">
        <v>46</v>
      </c>
      <c r="C22" s="3" t="s">
        <v>405</v>
      </c>
      <c r="D22" s="60">
        <v>44181</v>
      </c>
    </row>
    <row r="23" spans="1:4" x14ac:dyDescent="0.35">
      <c r="A23" s="3" t="s">
        <v>681</v>
      </c>
      <c r="B23" s="2" t="s">
        <v>46</v>
      </c>
      <c r="C23" s="3" t="s">
        <v>405</v>
      </c>
      <c r="D23" s="60">
        <v>44229</v>
      </c>
    </row>
    <row r="24" spans="1:4" x14ac:dyDescent="0.35">
      <c r="A24" s="3" t="s">
        <v>682</v>
      </c>
      <c r="B24" s="2" t="s">
        <v>46</v>
      </c>
      <c r="C24" s="3" t="s">
        <v>405</v>
      </c>
      <c r="D24" s="61">
        <v>45600</v>
      </c>
    </row>
    <row r="25" spans="1:4" x14ac:dyDescent="0.35">
      <c r="A25" s="3" t="s">
        <v>683</v>
      </c>
      <c r="B25" s="2" t="s">
        <v>46</v>
      </c>
      <c r="C25" s="3" t="s">
        <v>405</v>
      </c>
      <c r="D25" s="61">
        <v>45768</v>
      </c>
    </row>
    <row r="26" spans="1:4" x14ac:dyDescent="0.35">
      <c r="A26" s="3" t="s">
        <v>684</v>
      </c>
      <c r="B26" s="2" t="s">
        <v>404</v>
      </c>
      <c r="C26" s="3" t="s">
        <v>405</v>
      </c>
      <c r="D26" s="61" t="s">
        <v>685</v>
      </c>
    </row>
    <row r="27" spans="1:4" x14ac:dyDescent="0.35">
      <c r="A27" s="3" t="s">
        <v>686</v>
      </c>
      <c r="B27" s="2" t="s">
        <v>404</v>
      </c>
      <c r="C27" s="3" t="s">
        <v>405</v>
      </c>
      <c r="D27" s="61"/>
    </row>
    <row r="28" spans="1:4" x14ac:dyDescent="0.35">
      <c r="A28" s="3" t="s">
        <v>265</v>
      </c>
      <c r="B28" s="2" t="s">
        <v>404</v>
      </c>
      <c r="C28" s="3" t="s">
        <v>405</v>
      </c>
      <c r="D28" s="57" t="s">
        <v>685</v>
      </c>
    </row>
    <row r="29" spans="1:4" x14ac:dyDescent="0.35">
      <c r="A29" s="3" t="s">
        <v>687</v>
      </c>
      <c r="B29" s="2" t="s">
        <v>404</v>
      </c>
      <c r="C29" s="3" t="s">
        <v>405</v>
      </c>
      <c r="D29" s="55" t="s">
        <v>458</v>
      </c>
    </row>
    <row r="30" spans="1:4" x14ac:dyDescent="0.35">
      <c r="A30" s="3" t="s">
        <v>688</v>
      </c>
      <c r="B30" s="2" t="s">
        <v>404</v>
      </c>
      <c r="C30" s="3" t="s">
        <v>405</v>
      </c>
      <c r="D30" s="55" t="s">
        <v>689</v>
      </c>
    </row>
    <row r="31" spans="1:4" x14ac:dyDescent="0.35">
      <c r="A31" s="3" t="s">
        <v>690</v>
      </c>
      <c r="B31" s="2" t="s">
        <v>404</v>
      </c>
      <c r="C31" s="3" t="s">
        <v>405</v>
      </c>
      <c r="D31" s="55" t="s">
        <v>458</v>
      </c>
    </row>
    <row r="32" spans="1:4" x14ac:dyDescent="0.35">
      <c r="A32" s="3" t="s">
        <v>691</v>
      </c>
      <c r="B32" s="2" t="s">
        <v>404</v>
      </c>
      <c r="C32" s="3" t="s">
        <v>405</v>
      </c>
      <c r="D32" s="55" t="s">
        <v>689</v>
      </c>
    </row>
    <row r="33" spans="1:4" x14ac:dyDescent="0.35">
      <c r="A33" s="3" t="s">
        <v>692</v>
      </c>
      <c r="B33" s="2" t="s">
        <v>404</v>
      </c>
      <c r="C33" s="3" t="s">
        <v>405</v>
      </c>
      <c r="D33" s="55" t="s">
        <v>689</v>
      </c>
    </row>
    <row r="34" spans="1:4" x14ac:dyDescent="0.35">
      <c r="A34" s="3" t="s">
        <v>693</v>
      </c>
      <c r="B34" s="2" t="s">
        <v>404</v>
      </c>
      <c r="C34" s="3" t="s">
        <v>405</v>
      </c>
      <c r="D34" s="55" t="s">
        <v>689</v>
      </c>
    </row>
    <row r="35" spans="1:4" x14ac:dyDescent="0.35">
      <c r="A35" s="3" t="s">
        <v>694</v>
      </c>
      <c r="B35" s="2" t="s">
        <v>404</v>
      </c>
      <c r="C35" s="3" t="s">
        <v>405</v>
      </c>
      <c r="D35" s="55" t="s">
        <v>689</v>
      </c>
    </row>
    <row r="36" spans="1:4" x14ac:dyDescent="0.35">
      <c r="A36" s="3" t="s">
        <v>695</v>
      </c>
      <c r="B36" s="2" t="s">
        <v>404</v>
      </c>
      <c r="C36" s="3" t="s">
        <v>405</v>
      </c>
      <c r="D36" s="55" t="s">
        <v>689</v>
      </c>
    </row>
    <row r="37" spans="1:4" x14ac:dyDescent="0.35">
      <c r="A37" s="3" t="s">
        <v>696</v>
      </c>
      <c r="B37" s="2" t="s">
        <v>404</v>
      </c>
      <c r="C37" s="3" t="s">
        <v>405</v>
      </c>
      <c r="D37" s="55" t="s">
        <v>689</v>
      </c>
    </row>
    <row r="38" spans="1:4" x14ac:dyDescent="0.35">
      <c r="A38" s="3" t="s">
        <v>697</v>
      </c>
      <c r="B38" s="2" t="s">
        <v>404</v>
      </c>
      <c r="C38" s="3" t="s">
        <v>405</v>
      </c>
      <c r="D38" s="55" t="s">
        <v>689</v>
      </c>
    </row>
    <row r="39" spans="1:4" x14ac:dyDescent="0.35">
      <c r="A39" s="3" t="s">
        <v>698</v>
      </c>
      <c r="B39" s="2" t="s">
        <v>404</v>
      </c>
      <c r="C39" s="3" t="s">
        <v>405</v>
      </c>
      <c r="D39" s="55" t="s">
        <v>689</v>
      </c>
    </row>
    <row r="40" spans="1:4" x14ac:dyDescent="0.35">
      <c r="A40" s="3" t="s">
        <v>699</v>
      </c>
      <c r="B40" s="2" t="s">
        <v>404</v>
      </c>
      <c r="C40" s="3" t="s">
        <v>405</v>
      </c>
      <c r="D40" s="55" t="s">
        <v>689</v>
      </c>
    </row>
    <row r="41" spans="1:4" x14ac:dyDescent="0.35">
      <c r="A41" s="3" t="s">
        <v>700</v>
      </c>
      <c r="B41" s="2" t="s">
        <v>404</v>
      </c>
      <c r="C41" s="3" t="s">
        <v>405</v>
      </c>
      <c r="D41" s="55" t="s">
        <v>689</v>
      </c>
    </row>
    <row r="42" spans="1:4" x14ac:dyDescent="0.35">
      <c r="A42" s="3" t="s">
        <v>701</v>
      </c>
      <c r="B42" s="2" t="s">
        <v>404</v>
      </c>
      <c r="C42" s="3" t="s">
        <v>405</v>
      </c>
      <c r="D42" s="55" t="s">
        <v>689</v>
      </c>
    </row>
    <row r="43" spans="1:4" x14ac:dyDescent="0.35">
      <c r="A43" s="3" t="s">
        <v>702</v>
      </c>
      <c r="B43" s="2" t="s">
        <v>404</v>
      </c>
      <c r="C43" s="3" t="s">
        <v>405</v>
      </c>
      <c r="D43" s="55" t="s">
        <v>689</v>
      </c>
    </row>
    <row r="44" spans="1:4" x14ac:dyDescent="0.35">
      <c r="A44" s="3" t="s">
        <v>703</v>
      </c>
      <c r="B44" s="2" t="s">
        <v>404</v>
      </c>
      <c r="C44" s="3" t="s">
        <v>405</v>
      </c>
      <c r="D44" s="55" t="s">
        <v>689</v>
      </c>
    </row>
    <row r="45" spans="1:4" x14ac:dyDescent="0.35">
      <c r="A45" s="3" t="s">
        <v>704</v>
      </c>
      <c r="B45" s="2" t="s">
        <v>404</v>
      </c>
      <c r="C45" s="3" t="s">
        <v>405</v>
      </c>
      <c r="D45" s="55" t="s">
        <v>689</v>
      </c>
    </row>
    <row r="46" spans="1:4" x14ac:dyDescent="0.35">
      <c r="A46" s="3" t="s">
        <v>705</v>
      </c>
      <c r="B46" s="2" t="s">
        <v>404</v>
      </c>
      <c r="C46" s="3" t="s">
        <v>405</v>
      </c>
      <c r="D46" s="57" t="s">
        <v>706</v>
      </c>
    </row>
    <row r="47" spans="1:4" x14ac:dyDescent="0.35">
      <c r="A47" s="3" t="s">
        <v>707</v>
      </c>
      <c r="B47" s="2" t="s">
        <v>46</v>
      </c>
      <c r="C47" s="3" t="s">
        <v>405</v>
      </c>
      <c r="D47" s="61" t="s">
        <v>708</v>
      </c>
    </row>
    <row r="48" spans="1:4" x14ac:dyDescent="0.35">
      <c r="A48" s="3" t="s">
        <v>709</v>
      </c>
      <c r="B48" s="2" t="s">
        <v>404</v>
      </c>
      <c r="C48" s="3" t="s">
        <v>405</v>
      </c>
      <c r="D48" s="57" t="s">
        <v>710</v>
      </c>
    </row>
    <row r="49" spans="1:4" x14ac:dyDescent="0.35">
      <c r="A49" s="3" t="s">
        <v>711</v>
      </c>
      <c r="B49" s="2" t="s">
        <v>404</v>
      </c>
      <c r="C49" s="3" t="s">
        <v>405</v>
      </c>
      <c r="D49" s="57">
        <v>0</v>
      </c>
    </row>
    <row r="50" spans="1:4" x14ac:dyDescent="0.35">
      <c r="A50" s="3" t="s">
        <v>712</v>
      </c>
      <c r="B50" s="2" t="s">
        <v>404</v>
      </c>
      <c r="C50" s="3" t="s">
        <v>405</v>
      </c>
      <c r="D50" s="57"/>
    </row>
    <row r="51" spans="1:4" x14ac:dyDescent="0.35">
      <c r="A51" s="3" t="s">
        <v>713</v>
      </c>
      <c r="B51" s="2" t="s">
        <v>46</v>
      </c>
      <c r="C51" s="3" t="s">
        <v>405</v>
      </c>
      <c r="D51" s="61"/>
    </row>
    <row r="52" spans="1:4" x14ac:dyDescent="0.35">
      <c r="A52" s="3" t="s">
        <v>714</v>
      </c>
      <c r="B52" s="2" t="s">
        <v>404</v>
      </c>
      <c r="C52" s="3" t="s">
        <v>405</v>
      </c>
      <c r="D52" s="57"/>
    </row>
    <row r="53" spans="1:4" x14ac:dyDescent="0.35">
      <c r="A53" s="3" t="s">
        <v>715</v>
      </c>
      <c r="B53" s="2" t="s">
        <v>404</v>
      </c>
      <c r="C53" s="3" t="s">
        <v>405</v>
      </c>
      <c r="D53" s="57"/>
    </row>
    <row r="54" spans="1:4" x14ac:dyDescent="0.35">
      <c r="A54" s="3" t="s">
        <v>716</v>
      </c>
      <c r="B54" s="2" t="s">
        <v>404</v>
      </c>
      <c r="C54" s="3" t="s">
        <v>405</v>
      </c>
      <c r="D54" s="57" t="s">
        <v>717</v>
      </c>
    </row>
    <row r="55" spans="1:4" x14ac:dyDescent="0.35">
      <c r="A55" s="3" t="s">
        <v>718</v>
      </c>
      <c r="B55" s="2" t="s">
        <v>46</v>
      </c>
      <c r="C55" s="3" t="s">
        <v>405</v>
      </c>
      <c r="D55" s="57" t="s">
        <v>719</v>
      </c>
    </row>
    <row r="56" spans="1:4" x14ac:dyDescent="0.35">
      <c r="A56" s="3" t="s">
        <v>720</v>
      </c>
      <c r="B56" s="2" t="s">
        <v>404</v>
      </c>
      <c r="C56" s="3" t="s">
        <v>405</v>
      </c>
      <c r="D56" s="57" t="s">
        <v>721</v>
      </c>
    </row>
    <row r="57" spans="1:4" x14ac:dyDescent="0.35">
      <c r="A57" s="3" t="s">
        <v>722</v>
      </c>
      <c r="B57" s="2" t="s">
        <v>404</v>
      </c>
      <c r="C57" s="3" t="s">
        <v>405</v>
      </c>
      <c r="D57" s="57">
        <v>0</v>
      </c>
    </row>
    <row r="58" spans="1:4" x14ac:dyDescent="0.35">
      <c r="A58" s="3" t="s">
        <v>723</v>
      </c>
      <c r="B58" s="2" t="s">
        <v>404</v>
      </c>
      <c r="C58" s="3" t="s">
        <v>405</v>
      </c>
      <c r="D58" s="57"/>
    </row>
    <row r="59" spans="1:4" x14ac:dyDescent="0.35">
      <c r="A59" s="3" t="s">
        <v>724</v>
      </c>
      <c r="B59" s="2" t="s">
        <v>46</v>
      </c>
      <c r="C59" s="3" t="s">
        <v>405</v>
      </c>
      <c r="D59" s="61"/>
    </row>
    <row r="60" spans="1:4" x14ac:dyDescent="0.35">
      <c r="A60" s="3" t="s">
        <v>725</v>
      </c>
      <c r="B60" s="2" t="s">
        <v>404</v>
      </c>
      <c r="C60" s="3" t="s">
        <v>405</v>
      </c>
      <c r="D60" s="57"/>
    </row>
    <row r="61" spans="1:4" x14ac:dyDescent="0.35">
      <c r="A61" s="3" t="s">
        <v>726</v>
      </c>
      <c r="B61" s="2" t="s">
        <v>404</v>
      </c>
      <c r="C61" s="3" t="s">
        <v>405</v>
      </c>
      <c r="D61" s="57"/>
    </row>
    <row r="62" spans="1:4" x14ac:dyDescent="0.35">
      <c r="A62" s="3" t="s">
        <v>727</v>
      </c>
      <c r="B62" s="2" t="s">
        <v>404</v>
      </c>
      <c r="C62" s="3" t="s">
        <v>405</v>
      </c>
      <c r="D62" s="57"/>
    </row>
    <row r="63" spans="1:4" x14ac:dyDescent="0.35">
      <c r="A63" s="3" t="s">
        <v>728</v>
      </c>
      <c r="B63" s="2" t="s">
        <v>46</v>
      </c>
      <c r="C63" s="3" t="s">
        <v>405</v>
      </c>
      <c r="D63" s="61"/>
    </row>
    <row r="64" spans="1:4" x14ac:dyDescent="0.35">
      <c r="A64" s="3" t="s">
        <v>729</v>
      </c>
      <c r="B64" s="2" t="s">
        <v>404</v>
      </c>
      <c r="C64" s="3" t="s">
        <v>405</v>
      </c>
      <c r="D64" s="57"/>
    </row>
    <row r="65" spans="1:4" x14ac:dyDescent="0.35">
      <c r="A65" s="3" t="s">
        <v>730</v>
      </c>
      <c r="B65" s="2" t="s">
        <v>404</v>
      </c>
      <c r="C65" s="3" t="s">
        <v>405</v>
      </c>
      <c r="D65" s="57"/>
    </row>
    <row r="66" spans="1:4" x14ac:dyDescent="0.35">
      <c r="A66" s="3" t="s">
        <v>731</v>
      </c>
      <c r="B66" s="2" t="s">
        <v>404</v>
      </c>
      <c r="C66" s="3" t="s">
        <v>405</v>
      </c>
      <c r="D66" s="57"/>
    </row>
    <row r="67" spans="1:4" x14ac:dyDescent="0.35">
      <c r="A67" s="3" t="s">
        <v>732</v>
      </c>
      <c r="B67" s="2" t="s">
        <v>46</v>
      </c>
      <c r="C67" s="3" t="s">
        <v>405</v>
      </c>
      <c r="D67" s="61"/>
    </row>
    <row r="68" spans="1:4" x14ac:dyDescent="0.35">
      <c r="A68" s="3" t="s">
        <v>733</v>
      </c>
      <c r="B68" s="2" t="s">
        <v>404</v>
      </c>
      <c r="C68" s="3" t="s">
        <v>405</v>
      </c>
      <c r="D68" s="57"/>
    </row>
    <row r="69" spans="1:4" x14ac:dyDescent="0.35">
      <c r="A69" s="3" t="s">
        <v>734</v>
      </c>
      <c r="B69" s="2" t="s">
        <v>404</v>
      </c>
      <c r="C69" s="3" t="s">
        <v>405</v>
      </c>
      <c r="D69" s="57"/>
    </row>
    <row r="70" spans="1:4" x14ac:dyDescent="0.35">
      <c r="A70" s="3" t="s">
        <v>735</v>
      </c>
      <c r="B70" s="2" t="s">
        <v>404</v>
      </c>
      <c r="C70" s="3" t="s">
        <v>405</v>
      </c>
      <c r="D70" s="57"/>
    </row>
    <row r="71" spans="1:4" x14ac:dyDescent="0.35">
      <c r="A71" s="3" t="s">
        <v>736</v>
      </c>
      <c r="B71" s="2" t="s">
        <v>46</v>
      </c>
      <c r="C71" s="3" t="s">
        <v>405</v>
      </c>
      <c r="D71" s="61"/>
    </row>
    <row r="72" spans="1:4" x14ac:dyDescent="0.35">
      <c r="A72" s="3" t="s">
        <v>737</v>
      </c>
      <c r="B72" s="2" t="s">
        <v>404</v>
      </c>
      <c r="C72" s="3" t="s">
        <v>405</v>
      </c>
      <c r="D72" s="57"/>
    </row>
    <row r="73" spans="1:4" x14ac:dyDescent="0.35">
      <c r="A73" s="3" t="s">
        <v>738</v>
      </c>
      <c r="B73" s="2" t="s">
        <v>404</v>
      </c>
      <c r="C73" s="3" t="s">
        <v>405</v>
      </c>
      <c r="D73" s="57"/>
    </row>
    <row r="74" spans="1:4" x14ac:dyDescent="0.35">
      <c r="A74" s="3" t="s">
        <v>739</v>
      </c>
      <c r="B74" s="2" t="s">
        <v>404</v>
      </c>
      <c r="C74" s="3" t="s">
        <v>405</v>
      </c>
      <c r="D74" s="57"/>
    </row>
    <row r="75" spans="1:4" x14ac:dyDescent="0.35">
      <c r="A75" s="3" t="s">
        <v>740</v>
      </c>
      <c r="B75" s="2" t="s">
        <v>46</v>
      </c>
      <c r="C75" s="3" t="s">
        <v>405</v>
      </c>
      <c r="D75" s="61"/>
    </row>
    <row r="76" spans="1:4" x14ac:dyDescent="0.35">
      <c r="A76" s="3" t="s">
        <v>741</v>
      </c>
      <c r="B76" s="2" t="s">
        <v>404</v>
      </c>
      <c r="C76" s="3" t="s">
        <v>405</v>
      </c>
      <c r="D76" s="57"/>
    </row>
    <row r="77" spans="1:4" x14ac:dyDescent="0.35">
      <c r="A77" s="3" t="s">
        <v>742</v>
      </c>
      <c r="B77" s="2" t="s">
        <v>404</v>
      </c>
      <c r="C77" s="3" t="s">
        <v>405</v>
      </c>
      <c r="D77" s="57"/>
    </row>
    <row r="78" spans="1:4" x14ac:dyDescent="0.35">
      <c r="A78" s="3" t="s">
        <v>743</v>
      </c>
      <c r="B78" s="2" t="s">
        <v>404</v>
      </c>
      <c r="C78" s="3" t="s">
        <v>405</v>
      </c>
      <c r="D78" s="57"/>
    </row>
    <row r="79" spans="1:4" x14ac:dyDescent="0.35">
      <c r="A79" s="3" t="s">
        <v>744</v>
      </c>
      <c r="B79" s="2" t="s">
        <v>46</v>
      </c>
      <c r="C79" s="3" t="s">
        <v>405</v>
      </c>
      <c r="D79" s="61"/>
    </row>
    <row r="80" spans="1:4" x14ac:dyDescent="0.35">
      <c r="A80" s="3" t="s">
        <v>745</v>
      </c>
      <c r="B80" s="2" t="s">
        <v>404</v>
      </c>
      <c r="C80" s="3" t="s">
        <v>405</v>
      </c>
      <c r="D80" s="57"/>
    </row>
    <row r="81" spans="1:4" x14ac:dyDescent="0.35">
      <c r="A81" s="3" t="s">
        <v>746</v>
      </c>
      <c r="B81" s="2" t="s">
        <v>404</v>
      </c>
      <c r="C81" s="3" t="s">
        <v>405</v>
      </c>
      <c r="D81" s="57"/>
    </row>
    <row r="82" spans="1:4" x14ac:dyDescent="0.35">
      <c r="A82" s="3" t="s">
        <v>747</v>
      </c>
      <c r="B82" s="2" t="s">
        <v>404</v>
      </c>
      <c r="C82" s="3" t="s">
        <v>405</v>
      </c>
      <c r="D82" s="57"/>
    </row>
    <row r="83" spans="1:4" x14ac:dyDescent="0.35">
      <c r="A83" s="3" t="s">
        <v>748</v>
      </c>
      <c r="B83" s="2" t="s">
        <v>46</v>
      </c>
      <c r="C83" s="3" t="s">
        <v>405</v>
      </c>
      <c r="D83" s="61"/>
    </row>
    <row r="84" spans="1:4" x14ac:dyDescent="0.35">
      <c r="A84" s="3" t="s">
        <v>749</v>
      </c>
      <c r="B84" s="2" t="s">
        <v>404</v>
      </c>
      <c r="C84" s="3" t="s">
        <v>405</v>
      </c>
      <c r="D84" s="57"/>
    </row>
    <row r="85" spans="1:4" x14ac:dyDescent="0.35">
      <c r="A85" s="3" t="s">
        <v>750</v>
      </c>
      <c r="B85" s="2" t="s">
        <v>404</v>
      </c>
      <c r="C85" s="3" t="s">
        <v>405</v>
      </c>
      <c r="D85" s="57"/>
    </row>
    <row r="86" spans="1:4" x14ac:dyDescent="0.35">
      <c r="A86" s="3" t="s">
        <v>751</v>
      </c>
      <c r="B86" s="2" t="s">
        <v>404</v>
      </c>
      <c r="C86" s="3" t="s">
        <v>405</v>
      </c>
      <c r="D86" s="57"/>
    </row>
    <row r="87" spans="1:4" x14ac:dyDescent="0.35">
      <c r="A87" s="3" t="s">
        <v>752</v>
      </c>
      <c r="B87" s="2" t="s">
        <v>46</v>
      </c>
      <c r="C87" s="3" t="s">
        <v>405</v>
      </c>
      <c r="D87" s="61"/>
    </row>
    <row r="88" spans="1:4" x14ac:dyDescent="0.35">
      <c r="A88" s="3" t="s">
        <v>753</v>
      </c>
      <c r="B88" s="2" t="s">
        <v>404</v>
      </c>
      <c r="C88" s="3" t="s">
        <v>405</v>
      </c>
      <c r="D88" s="57"/>
    </row>
    <row r="89" spans="1:4" x14ac:dyDescent="0.35">
      <c r="A89" s="3" t="s">
        <v>754</v>
      </c>
      <c r="B89" s="2" t="s">
        <v>404</v>
      </c>
      <c r="C89" s="3" t="s">
        <v>405</v>
      </c>
      <c r="D89" s="57"/>
    </row>
    <row r="90" spans="1:4" x14ac:dyDescent="0.35">
      <c r="A90" s="3" t="s">
        <v>755</v>
      </c>
      <c r="B90" s="2" t="s">
        <v>404</v>
      </c>
      <c r="C90" s="3" t="s">
        <v>405</v>
      </c>
      <c r="D90" s="57"/>
    </row>
    <row r="91" spans="1:4" x14ac:dyDescent="0.35">
      <c r="A91" s="3" t="s">
        <v>756</v>
      </c>
      <c r="B91" s="2" t="s">
        <v>46</v>
      </c>
      <c r="C91" s="3" t="s">
        <v>405</v>
      </c>
      <c r="D91" s="61"/>
    </row>
    <row r="92" spans="1:4" x14ac:dyDescent="0.35">
      <c r="A92" s="3" t="s">
        <v>757</v>
      </c>
      <c r="B92" s="2" t="s">
        <v>404</v>
      </c>
      <c r="C92" s="3" t="s">
        <v>405</v>
      </c>
      <c r="D92" s="57"/>
    </row>
    <row r="93" spans="1:4" x14ac:dyDescent="0.35">
      <c r="A93" s="3" t="s">
        <v>758</v>
      </c>
      <c r="B93" s="2" t="s">
        <v>404</v>
      </c>
      <c r="C93" s="3" t="s">
        <v>405</v>
      </c>
      <c r="D93" s="57"/>
    </row>
    <row r="94" spans="1:4" x14ac:dyDescent="0.35">
      <c r="A94" s="3" t="s">
        <v>759</v>
      </c>
      <c r="B94" s="2" t="s">
        <v>404</v>
      </c>
      <c r="C94" s="3" t="s">
        <v>405</v>
      </c>
      <c r="D94" s="57"/>
    </row>
    <row r="95" spans="1:4" x14ac:dyDescent="0.35">
      <c r="A95" s="3" t="s">
        <v>760</v>
      </c>
      <c r="B95" s="2" t="s">
        <v>46</v>
      </c>
      <c r="C95" s="3" t="s">
        <v>405</v>
      </c>
      <c r="D95" s="61"/>
    </row>
    <row r="96" spans="1:4" x14ac:dyDescent="0.35">
      <c r="A96" s="3" t="s">
        <v>761</v>
      </c>
      <c r="B96" s="2" t="s">
        <v>404</v>
      </c>
      <c r="C96" s="3" t="s">
        <v>405</v>
      </c>
      <c r="D96" s="57"/>
    </row>
    <row r="97" spans="1:4" x14ac:dyDescent="0.35">
      <c r="A97" s="3" t="s">
        <v>762</v>
      </c>
      <c r="B97" s="2" t="s">
        <v>404</v>
      </c>
      <c r="C97" s="3" t="s">
        <v>405</v>
      </c>
      <c r="D97" s="57"/>
    </row>
    <row r="98" spans="1:4" x14ac:dyDescent="0.35">
      <c r="A98" s="3" t="s">
        <v>763</v>
      </c>
      <c r="B98" s="2" t="s">
        <v>404</v>
      </c>
      <c r="C98" s="3" t="s">
        <v>405</v>
      </c>
      <c r="D98" s="57"/>
    </row>
    <row r="99" spans="1:4" x14ac:dyDescent="0.35">
      <c r="A99" s="3" t="s">
        <v>764</v>
      </c>
      <c r="B99" s="2" t="s">
        <v>46</v>
      </c>
      <c r="C99" s="3" t="s">
        <v>405</v>
      </c>
      <c r="D99" s="61"/>
    </row>
    <row r="100" spans="1:4" x14ac:dyDescent="0.35">
      <c r="A100" s="3" t="s">
        <v>765</v>
      </c>
      <c r="B100" s="2" t="s">
        <v>404</v>
      </c>
      <c r="C100" s="3" t="s">
        <v>405</v>
      </c>
      <c r="D100" s="57"/>
    </row>
    <row r="101" spans="1:4" x14ac:dyDescent="0.35">
      <c r="A101" s="3" t="s">
        <v>766</v>
      </c>
      <c r="B101" s="2" t="s">
        <v>404</v>
      </c>
      <c r="C101" s="3" t="s">
        <v>405</v>
      </c>
      <c r="D101" s="57"/>
    </row>
    <row r="102" spans="1:4" x14ac:dyDescent="0.35">
      <c r="A102" s="3" t="s">
        <v>767</v>
      </c>
      <c r="B102" s="2" t="s">
        <v>404</v>
      </c>
      <c r="C102" s="3" t="s">
        <v>405</v>
      </c>
      <c r="D102" s="57"/>
    </row>
    <row r="103" spans="1:4" x14ac:dyDescent="0.35">
      <c r="A103" s="3" t="s">
        <v>768</v>
      </c>
      <c r="B103" s="2" t="s">
        <v>46</v>
      </c>
      <c r="C103" s="3" t="s">
        <v>405</v>
      </c>
      <c r="D103" s="61"/>
    </row>
    <row r="104" spans="1:4" x14ac:dyDescent="0.35">
      <c r="A104" s="3" t="s">
        <v>769</v>
      </c>
      <c r="B104" s="2" t="s">
        <v>404</v>
      </c>
      <c r="C104" s="3" t="s">
        <v>405</v>
      </c>
      <c r="D104" s="57"/>
    </row>
    <row r="105" spans="1:4" x14ac:dyDescent="0.35">
      <c r="A105" s="3" t="s">
        <v>770</v>
      </c>
      <c r="B105" s="2" t="s">
        <v>404</v>
      </c>
      <c r="C105" s="3" t="s">
        <v>405</v>
      </c>
      <c r="D105" s="57"/>
    </row>
    <row r="106" spans="1:4" x14ac:dyDescent="0.35">
      <c r="A106" s="3" t="s">
        <v>771</v>
      </c>
      <c r="B106" s="2" t="s">
        <v>404</v>
      </c>
      <c r="C106" s="3" t="s">
        <v>405</v>
      </c>
      <c r="D106" s="57"/>
    </row>
    <row r="107" spans="1:4" x14ac:dyDescent="0.35">
      <c r="A107" s="3" t="s">
        <v>772</v>
      </c>
      <c r="B107" s="2" t="s">
        <v>46</v>
      </c>
      <c r="C107" s="3" t="s">
        <v>405</v>
      </c>
      <c r="D107" s="61"/>
    </row>
    <row r="108" spans="1:4" x14ac:dyDescent="0.35">
      <c r="A108" s="3" t="s">
        <v>773</v>
      </c>
      <c r="B108" s="2" t="s">
        <v>404</v>
      </c>
      <c r="C108" s="3" t="s">
        <v>405</v>
      </c>
      <c r="D108" s="57"/>
    </row>
    <row r="109" spans="1:4" x14ac:dyDescent="0.35">
      <c r="A109" s="3" t="s">
        <v>774</v>
      </c>
      <c r="B109" s="2" t="s">
        <v>404</v>
      </c>
      <c r="C109" s="3" t="s">
        <v>405</v>
      </c>
      <c r="D109" s="57"/>
    </row>
    <row r="110" spans="1:4" x14ac:dyDescent="0.35">
      <c r="A110" s="3" t="s">
        <v>775</v>
      </c>
      <c r="B110" s="2" t="s">
        <v>404</v>
      </c>
      <c r="C110" s="3" t="s">
        <v>405</v>
      </c>
      <c r="D110" s="57"/>
    </row>
    <row r="111" spans="1:4" x14ac:dyDescent="0.35">
      <c r="A111" s="3" t="s">
        <v>776</v>
      </c>
      <c r="B111" s="2" t="s">
        <v>46</v>
      </c>
      <c r="C111" s="3" t="s">
        <v>405</v>
      </c>
      <c r="D111" s="61"/>
    </row>
    <row r="112" spans="1:4" x14ac:dyDescent="0.35">
      <c r="A112" s="3" t="s">
        <v>777</v>
      </c>
      <c r="B112" s="2" t="s">
        <v>404</v>
      </c>
      <c r="C112" s="3" t="s">
        <v>405</v>
      </c>
      <c r="D112" s="57"/>
    </row>
    <row r="113" spans="1:4" x14ac:dyDescent="0.35">
      <c r="A113" s="3" t="s">
        <v>778</v>
      </c>
      <c r="B113" s="2" t="s">
        <v>404</v>
      </c>
      <c r="C113" s="3" t="s">
        <v>405</v>
      </c>
      <c r="D113" s="57"/>
    </row>
    <row r="114" spans="1:4" x14ac:dyDescent="0.35">
      <c r="A114" s="3" t="s">
        <v>779</v>
      </c>
      <c r="B114" s="2" t="s">
        <v>404</v>
      </c>
      <c r="C114" s="3" t="s">
        <v>405</v>
      </c>
      <c r="D114" s="57"/>
    </row>
    <row r="115" spans="1:4" x14ac:dyDescent="0.35">
      <c r="A115" s="3" t="s">
        <v>780</v>
      </c>
      <c r="B115" s="2" t="s">
        <v>404</v>
      </c>
      <c r="C115" s="3" t="s">
        <v>405</v>
      </c>
      <c r="D115" s="57"/>
    </row>
    <row r="116" spans="1:4" x14ac:dyDescent="0.35">
      <c r="A116" s="3" t="s">
        <v>781</v>
      </c>
      <c r="B116" s="2" t="s">
        <v>404</v>
      </c>
      <c r="C116" s="3" t="s">
        <v>405</v>
      </c>
      <c r="D116" s="57"/>
    </row>
    <row r="117" spans="1:4" x14ac:dyDescent="0.35">
      <c r="A117" s="3" t="s">
        <v>782</v>
      </c>
      <c r="B117" s="2" t="s">
        <v>404</v>
      </c>
      <c r="C117" s="3" t="s">
        <v>405</v>
      </c>
      <c r="D117" s="57"/>
    </row>
    <row r="118" spans="1:4" x14ac:dyDescent="0.35">
      <c r="A118" s="3" t="s">
        <v>783</v>
      </c>
      <c r="B118" s="2" t="s">
        <v>404</v>
      </c>
      <c r="C118" s="3" t="s">
        <v>405</v>
      </c>
      <c r="D118" s="55" t="s">
        <v>689</v>
      </c>
    </row>
    <row r="119" spans="1:4" x14ac:dyDescent="0.35">
      <c r="A119" s="3" t="s">
        <v>784</v>
      </c>
      <c r="B119" s="2" t="s">
        <v>404</v>
      </c>
      <c r="C119" s="3" t="s">
        <v>405</v>
      </c>
      <c r="D119" s="55" t="s">
        <v>689</v>
      </c>
    </row>
    <row r="120" spans="1:4" x14ac:dyDescent="0.35">
      <c r="A120" s="3" t="s">
        <v>785</v>
      </c>
      <c r="B120" s="2" t="s">
        <v>404</v>
      </c>
      <c r="C120" s="3" t="s">
        <v>405</v>
      </c>
      <c r="D120" s="55" t="s">
        <v>689</v>
      </c>
    </row>
    <row r="121" spans="1:4" x14ac:dyDescent="0.35">
      <c r="A121" s="3" t="s">
        <v>786</v>
      </c>
      <c r="B121" s="2" t="s">
        <v>404</v>
      </c>
      <c r="C121" s="3" t="s">
        <v>405</v>
      </c>
      <c r="D121" s="55" t="s">
        <v>689</v>
      </c>
    </row>
    <row r="122" spans="1:4" x14ac:dyDescent="0.35">
      <c r="A122" s="3" t="s">
        <v>787</v>
      </c>
      <c r="B122" s="2" t="s">
        <v>404</v>
      </c>
      <c r="C122" s="3" t="s">
        <v>405</v>
      </c>
      <c r="D122" s="55" t="s">
        <v>689</v>
      </c>
    </row>
    <row r="123" spans="1:4" x14ac:dyDescent="0.35">
      <c r="A123" s="3" t="s">
        <v>788</v>
      </c>
      <c r="B123" s="2" t="s">
        <v>404</v>
      </c>
      <c r="C123" s="3" t="s">
        <v>405</v>
      </c>
      <c r="D123" s="55" t="s">
        <v>689</v>
      </c>
    </row>
    <row r="124" spans="1:4" x14ac:dyDescent="0.35">
      <c r="A124" s="3" t="s">
        <v>789</v>
      </c>
      <c r="B124" s="2" t="s">
        <v>404</v>
      </c>
      <c r="C124" s="3" t="s">
        <v>405</v>
      </c>
      <c r="D124" s="55" t="s">
        <v>689</v>
      </c>
    </row>
    <row r="125" spans="1:4" x14ac:dyDescent="0.35">
      <c r="A125" s="3" t="s">
        <v>790</v>
      </c>
      <c r="B125" s="2" t="s">
        <v>404</v>
      </c>
      <c r="C125" s="3" t="s">
        <v>405</v>
      </c>
      <c r="D125" s="55" t="s">
        <v>689</v>
      </c>
    </row>
    <row r="126" spans="1:4" x14ac:dyDescent="0.35">
      <c r="A126" s="3" t="s">
        <v>791</v>
      </c>
      <c r="B126" s="2" t="s">
        <v>404</v>
      </c>
      <c r="C126" s="3" t="s">
        <v>405</v>
      </c>
      <c r="D126" s="55" t="s">
        <v>689</v>
      </c>
    </row>
    <row r="127" spans="1:4" x14ac:dyDescent="0.35">
      <c r="A127" s="3" t="s">
        <v>792</v>
      </c>
      <c r="B127" s="2" t="s">
        <v>404</v>
      </c>
      <c r="C127" s="3" t="s">
        <v>405</v>
      </c>
      <c r="D127" s="55" t="s">
        <v>689</v>
      </c>
    </row>
    <row r="128" spans="1:4" x14ac:dyDescent="0.35">
      <c r="A128" s="3" t="s">
        <v>793</v>
      </c>
      <c r="B128" s="2" t="s">
        <v>404</v>
      </c>
      <c r="C128" s="3" t="s">
        <v>405</v>
      </c>
      <c r="D128" s="55" t="s">
        <v>689</v>
      </c>
    </row>
    <row r="129" spans="1:4" x14ac:dyDescent="0.35">
      <c r="A129" s="3" t="s">
        <v>794</v>
      </c>
      <c r="B129" s="2" t="s">
        <v>404</v>
      </c>
      <c r="C129" s="3" t="s">
        <v>405</v>
      </c>
      <c r="D129" s="55" t="s">
        <v>689</v>
      </c>
    </row>
    <row r="130" spans="1:4" x14ac:dyDescent="0.35">
      <c r="A130" s="3" t="s">
        <v>795</v>
      </c>
      <c r="B130" s="2" t="s">
        <v>404</v>
      </c>
      <c r="C130" s="3" t="s">
        <v>405</v>
      </c>
      <c r="D130" s="55" t="s">
        <v>689</v>
      </c>
    </row>
    <row r="131" spans="1:4" x14ac:dyDescent="0.35">
      <c r="A131" s="3" t="s">
        <v>796</v>
      </c>
      <c r="B131" s="2" t="s">
        <v>404</v>
      </c>
      <c r="C131" s="3" t="s">
        <v>405</v>
      </c>
      <c r="D131" s="55" t="s">
        <v>689</v>
      </c>
    </row>
    <row r="132" spans="1:4" x14ac:dyDescent="0.35">
      <c r="A132" s="3" t="s">
        <v>797</v>
      </c>
      <c r="B132" s="2" t="s">
        <v>404</v>
      </c>
      <c r="C132" s="3" t="s">
        <v>405</v>
      </c>
      <c r="D132" s="55" t="s">
        <v>689</v>
      </c>
    </row>
    <row r="133" spans="1:4" x14ac:dyDescent="0.35">
      <c r="A133" s="3" t="s">
        <v>798</v>
      </c>
      <c r="B133" s="2" t="s">
        <v>404</v>
      </c>
      <c r="C133" s="3" t="s">
        <v>405</v>
      </c>
      <c r="D133" s="55" t="s">
        <v>689</v>
      </c>
    </row>
    <row r="134" spans="1:4" x14ac:dyDescent="0.35">
      <c r="A134" s="3" t="s">
        <v>799</v>
      </c>
      <c r="B134" s="2" t="s">
        <v>404</v>
      </c>
      <c r="C134" s="3" t="s">
        <v>405</v>
      </c>
      <c r="D134" s="55" t="s">
        <v>689</v>
      </c>
    </row>
    <row r="135" spans="1:4" x14ac:dyDescent="0.35">
      <c r="A135" s="3" t="s">
        <v>800</v>
      </c>
      <c r="B135" s="2" t="s">
        <v>404</v>
      </c>
      <c r="C135" s="3" t="s">
        <v>405</v>
      </c>
      <c r="D135" s="55" t="s">
        <v>689</v>
      </c>
    </row>
    <row r="136" spans="1:4" x14ac:dyDescent="0.35">
      <c r="A136" s="3" t="s">
        <v>388</v>
      </c>
      <c r="B136" s="2" t="s">
        <v>404</v>
      </c>
      <c r="C136" s="3" t="s">
        <v>405</v>
      </c>
      <c r="D136" s="57"/>
    </row>
    <row r="137" spans="1:4" x14ac:dyDescent="0.35">
      <c r="A137" s="3" t="s">
        <v>801</v>
      </c>
      <c r="B137" s="2" t="s">
        <v>404</v>
      </c>
      <c r="C137" s="3" t="s">
        <v>405</v>
      </c>
      <c r="D137" s="57"/>
    </row>
    <row r="138" spans="1:4" x14ac:dyDescent="0.35">
      <c r="A138" s="3" t="s">
        <v>802</v>
      </c>
      <c r="B138" s="2" t="s">
        <v>404</v>
      </c>
      <c r="C138" s="3" t="s">
        <v>405</v>
      </c>
      <c r="D138" s="57"/>
    </row>
    <row r="139" spans="1:4" x14ac:dyDescent="0.35">
      <c r="A139" s="3" t="s">
        <v>803</v>
      </c>
      <c r="B139" s="2" t="s">
        <v>404</v>
      </c>
      <c r="C139" s="3" t="s">
        <v>405</v>
      </c>
      <c r="D139" s="57"/>
    </row>
    <row r="140" spans="1:4" x14ac:dyDescent="0.35">
      <c r="A140" s="3" t="s">
        <v>804</v>
      </c>
      <c r="B140" s="2" t="s">
        <v>404</v>
      </c>
      <c r="C140" s="3" t="s">
        <v>405</v>
      </c>
      <c r="D140" s="57"/>
    </row>
    <row r="141" spans="1:4" x14ac:dyDescent="0.35">
      <c r="A141" s="3" t="s">
        <v>388</v>
      </c>
      <c r="B141" s="2" t="s">
        <v>404</v>
      </c>
      <c r="C141" s="3" t="s">
        <v>405</v>
      </c>
      <c r="D141" s="57"/>
    </row>
    <row r="142" spans="1:4" x14ac:dyDescent="0.35">
      <c r="A142" s="3" t="s">
        <v>805</v>
      </c>
      <c r="B142" s="2" t="s">
        <v>404</v>
      </c>
      <c r="C142" s="3" t="s">
        <v>405</v>
      </c>
      <c r="D142" s="57" t="s">
        <v>806</v>
      </c>
    </row>
  </sheetData>
  <conditionalFormatting sqref="D5">
    <cfRule type="duplicateValues" dxfId="7" priority="1"/>
  </conditionalFormatting>
  <conditionalFormatting sqref="D3">
    <cfRule type="duplicateValues" dxfId="6" priority="2"/>
  </conditionalFormatting>
  <conditionalFormatting sqref="D2">
    <cfRule type="duplicateValues" dxfId="5" priority="3"/>
  </conditionalFormatting>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134"/>
  <sheetViews>
    <sheetView tabSelected="1" workbookViewId="0">
      <selection activeCell="C4" sqref="C4"/>
    </sheetView>
  </sheetViews>
  <sheetFormatPr defaultRowHeight="14.5" x14ac:dyDescent="0.35"/>
  <cols>
    <col min="1" max="1" width="14.54296875" customWidth="1"/>
    <col min="2" max="2" width="22.81640625" customWidth="1"/>
    <col min="3" max="3" width="23" customWidth="1"/>
    <col min="4" max="4" width="23.90625" bestFit="1" customWidth="1"/>
    <col min="5" max="5" width="73" customWidth="1"/>
  </cols>
  <sheetData>
    <row r="1" spans="1:5" x14ac:dyDescent="0.35">
      <c r="A1" s="66" t="s">
        <v>1022</v>
      </c>
      <c r="B1" s="66" t="s">
        <v>857</v>
      </c>
      <c r="C1" s="4" t="s">
        <v>858</v>
      </c>
      <c r="D1" s="4" t="s">
        <v>859</v>
      </c>
      <c r="E1" s="4" t="s">
        <v>47</v>
      </c>
    </row>
    <row r="2" spans="1:5" ht="29" x14ac:dyDescent="0.35">
      <c r="A2" s="3">
        <v>1</v>
      </c>
      <c r="B2" s="67" t="s">
        <v>860</v>
      </c>
      <c r="C2" s="3" t="s">
        <v>601</v>
      </c>
      <c r="D2" s="2" t="s">
        <v>861</v>
      </c>
      <c r="E2" s="16" t="s">
        <v>862</v>
      </c>
    </row>
    <row r="3" spans="1:5" ht="43.5" x14ac:dyDescent="0.35">
      <c r="A3" s="3">
        <v>2</v>
      </c>
      <c r="B3" s="67" t="s">
        <v>863</v>
      </c>
      <c r="C3" s="3" t="s">
        <v>601</v>
      </c>
      <c r="D3" s="2" t="s">
        <v>861</v>
      </c>
      <c r="E3" s="16" t="s">
        <v>864</v>
      </c>
    </row>
    <row r="4" spans="1:5" ht="43.5" x14ac:dyDescent="0.35">
      <c r="A4" s="3">
        <v>3</v>
      </c>
      <c r="B4" s="67" t="s">
        <v>865</v>
      </c>
      <c r="C4" s="3" t="s">
        <v>601</v>
      </c>
      <c r="D4" s="2" t="s">
        <v>861</v>
      </c>
      <c r="E4" s="16" t="s">
        <v>866</v>
      </c>
    </row>
    <row r="5" spans="1:5" ht="43.5" x14ac:dyDescent="0.35">
      <c r="A5" s="3">
        <v>4</v>
      </c>
      <c r="B5" s="67" t="s">
        <v>867</v>
      </c>
      <c r="C5" s="3" t="s">
        <v>601</v>
      </c>
      <c r="D5" s="2" t="s">
        <v>861</v>
      </c>
      <c r="E5" s="16" t="s">
        <v>868</v>
      </c>
    </row>
    <row r="6" spans="1:5" ht="29" x14ac:dyDescent="0.35">
      <c r="A6" s="3">
        <v>5</v>
      </c>
      <c r="B6" s="67" t="s">
        <v>869</v>
      </c>
      <c r="C6" s="3" t="s">
        <v>601</v>
      </c>
      <c r="D6" s="2" t="s">
        <v>861</v>
      </c>
      <c r="E6" s="16" t="s">
        <v>870</v>
      </c>
    </row>
    <row r="7" spans="1:5" ht="43.5" x14ac:dyDescent="0.35">
      <c r="A7" s="3">
        <v>6</v>
      </c>
      <c r="B7" s="67" t="s">
        <v>871</v>
      </c>
      <c r="C7" s="3" t="s">
        <v>601</v>
      </c>
      <c r="D7" s="2" t="s">
        <v>861</v>
      </c>
      <c r="E7" s="16" t="s">
        <v>872</v>
      </c>
    </row>
    <row r="8" spans="1:5" x14ac:dyDescent="0.35">
      <c r="A8" s="3">
        <v>7</v>
      </c>
      <c r="B8" s="67" t="s">
        <v>873</v>
      </c>
      <c r="C8" s="3" t="s">
        <v>601</v>
      </c>
      <c r="D8" s="2" t="s">
        <v>861</v>
      </c>
      <c r="E8" s="16" t="s">
        <v>1023</v>
      </c>
    </row>
    <row r="9" spans="1:5" x14ac:dyDescent="0.35">
      <c r="A9" s="3">
        <v>8</v>
      </c>
      <c r="B9" s="67" t="s">
        <v>874</v>
      </c>
      <c r="C9" s="3" t="s">
        <v>601</v>
      </c>
      <c r="D9" s="2" t="s">
        <v>861</v>
      </c>
      <c r="E9" s="16" t="s">
        <v>1025</v>
      </c>
    </row>
    <row r="10" spans="1:5" x14ac:dyDescent="0.35">
      <c r="A10" s="3">
        <v>9</v>
      </c>
      <c r="B10" s="67" t="s">
        <v>875</v>
      </c>
      <c r="C10" s="3" t="s">
        <v>601</v>
      </c>
      <c r="D10" s="2" t="s">
        <v>861</v>
      </c>
      <c r="E10" s="16" t="s">
        <v>1024</v>
      </c>
    </row>
    <row r="11" spans="1:5" x14ac:dyDescent="0.35">
      <c r="A11" s="3">
        <v>10</v>
      </c>
      <c r="B11" s="67" t="s">
        <v>876</v>
      </c>
      <c r="C11" s="3" t="s">
        <v>601</v>
      </c>
      <c r="D11" s="2" t="s">
        <v>861</v>
      </c>
      <c r="E11" s="16" t="s">
        <v>1026</v>
      </c>
    </row>
    <row r="12" spans="1:5" x14ac:dyDescent="0.35">
      <c r="A12" s="3">
        <v>11</v>
      </c>
      <c r="B12" s="67" t="s">
        <v>877</v>
      </c>
      <c r="C12" s="3" t="s">
        <v>601</v>
      </c>
      <c r="D12" s="2" t="s">
        <v>861</v>
      </c>
      <c r="E12" s="16" t="s">
        <v>1027</v>
      </c>
    </row>
    <row r="13" spans="1:5" x14ac:dyDescent="0.35">
      <c r="A13" s="3">
        <v>12</v>
      </c>
      <c r="B13" s="67" t="s">
        <v>878</v>
      </c>
      <c r="C13" s="3" t="s">
        <v>601</v>
      </c>
      <c r="D13" s="2" t="s">
        <v>861</v>
      </c>
      <c r="E13" s="16" t="s">
        <v>1028</v>
      </c>
    </row>
    <row r="14" spans="1:5" ht="29" x14ac:dyDescent="0.35">
      <c r="A14" s="3">
        <v>13</v>
      </c>
      <c r="B14" s="68" t="s">
        <v>879</v>
      </c>
      <c r="C14" s="3" t="s">
        <v>601</v>
      </c>
      <c r="D14" s="2" t="s">
        <v>861</v>
      </c>
      <c r="E14" s="16" t="s">
        <v>880</v>
      </c>
    </row>
    <row r="15" spans="1:5" ht="29" x14ac:dyDescent="0.35">
      <c r="A15" s="3">
        <v>14</v>
      </c>
      <c r="B15" s="68" t="s">
        <v>881</v>
      </c>
      <c r="C15" s="3" t="s">
        <v>601</v>
      </c>
      <c r="D15" s="2" t="s">
        <v>861</v>
      </c>
      <c r="E15" s="16" t="s">
        <v>882</v>
      </c>
    </row>
    <row r="16" spans="1:5" ht="29" x14ac:dyDescent="0.35">
      <c r="A16" s="3">
        <v>15</v>
      </c>
      <c r="B16" s="68" t="s">
        <v>883</v>
      </c>
      <c r="C16" s="3" t="s">
        <v>601</v>
      </c>
      <c r="D16" s="2" t="s">
        <v>861</v>
      </c>
      <c r="E16" s="16" t="s">
        <v>884</v>
      </c>
    </row>
    <row r="17" spans="1:5" ht="43.5" x14ac:dyDescent="0.35">
      <c r="A17" s="3">
        <v>16</v>
      </c>
      <c r="B17" s="68" t="s">
        <v>885</v>
      </c>
      <c r="C17" s="3" t="s">
        <v>886</v>
      </c>
      <c r="D17" s="2" t="s">
        <v>861</v>
      </c>
      <c r="E17" s="16" t="s">
        <v>887</v>
      </c>
    </row>
    <row r="18" spans="1:5" ht="29" x14ac:dyDescent="0.35">
      <c r="A18" s="3">
        <v>17</v>
      </c>
      <c r="B18" s="68" t="s">
        <v>888</v>
      </c>
      <c r="C18" s="3" t="s">
        <v>601</v>
      </c>
      <c r="D18" s="2" t="s">
        <v>861</v>
      </c>
      <c r="E18" s="16" t="s">
        <v>889</v>
      </c>
    </row>
    <row r="19" spans="1:5" ht="43.5" x14ac:dyDescent="0.35">
      <c r="A19" s="3">
        <v>18</v>
      </c>
      <c r="B19" s="68" t="s">
        <v>890</v>
      </c>
      <c r="C19" s="3" t="s">
        <v>601</v>
      </c>
      <c r="D19" s="2" t="s">
        <v>861</v>
      </c>
      <c r="E19" s="16" t="s">
        <v>891</v>
      </c>
    </row>
    <row r="20" spans="1:5" ht="29" x14ac:dyDescent="0.35">
      <c r="A20" s="3">
        <v>19</v>
      </c>
      <c r="B20" s="68" t="s">
        <v>892</v>
      </c>
      <c r="C20" s="3" t="s">
        <v>601</v>
      </c>
      <c r="D20" s="2" t="s">
        <v>861</v>
      </c>
      <c r="E20" s="16" t="s">
        <v>893</v>
      </c>
    </row>
    <row r="21" spans="1:5" ht="29" x14ac:dyDescent="0.35">
      <c r="A21" s="3">
        <v>20</v>
      </c>
      <c r="B21" s="68" t="s">
        <v>894</v>
      </c>
      <c r="C21" s="3" t="s">
        <v>601</v>
      </c>
      <c r="D21" s="2" t="s">
        <v>861</v>
      </c>
      <c r="E21" s="16" t="s">
        <v>895</v>
      </c>
    </row>
    <row r="22" spans="1:5" ht="29" x14ac:dyDescent="0.35">
      <c r="A22" s="3">
        <v>21</v>
      </c>
      <c r="B22" s="68" t="s">
        <v>896</v>
      </c>
      <c r="C22" s="3" t="s">
        <v>601</v>
      </c>
      <c r="D22" s="2" t="s">
        <v>861</v>
      </c>
      <c r="E22" s="16" t="s">
        <v>897</v>
      </c>
    </row>
    <row r="23" spans="1:5" ht="43.5" x14ac:dyDescent="0.35">
      <c r="A23" s="3">
        <v>22</v>
      </c>
      <c r="B23" s="68" t="s">
        <v>898</v>
      </c>
      <c r="C23" s="3" t="s">
        <v>601</v>
      </c>
      <c r="D23" s="2" t="s">
        <v>861</v>
      </c>
      <c r="E23" s="16" t="s">
        <v>899</v>
      </c>
    </row>
    <row r="24" spans="1:5" ht="58" x14ac:dyDescent="0.35">
      <c r="A24" s="3">
        <v>23</v>
      </c>
      <c r="B24" s="68" t="s">
        <v>900</v>
      </c>
      <c r="C24" s="3" t="s">
        <v>601</v>
      </c>
      <c r="D24" s="2" t="s">
        <v>861</v>
      </c>
      <c r="E24" s="16" t="s">
        <v>901</v>
      </c>
    </row>
    <row r="25" spans="1:5" ht="58" x14ac:dyDescent="0.35">
      <c r="A25" s="3">
        <v>24</v>
      </c>
      <c r="B25" s="68" t="s">
        <v>902</v>
      </c>
      <c r="C25" s="3" t="s">
        <v>601</v>
      </c>
      <c r="D25" s="2" t="s">
        <v>861</v>
      </c>
      <c r="E25" s="16" t="s">
        <v>903</v>
      </c>
    </row>
    <row r="26" spans="1:5" x14ac:dyDescent="0.35">
      <c r="A26" s="3">
        <v>25</v>
      </c>
      <c r="B26" s="68" t="s">
        <v>904</v>
      </c>
      <c r="C26" s="3" t="s">
        <v>601</v>
      </c>
      <c r="D26" s="2" t="s">
        <v>861</v>
      </c>
      <c r="E26" s="16" t="s">
        <v>905</v>
      </c>
    </row>
    <row r="27" spans="1:5" x14ac:dyDescent="0.35">
      <c r="A27" s="3">
        <v>26</v>
      </c>
      <c r="B27" s="68" t="s">
        <v>906</v>
      </c>
      <c r="C27" s="3" t="s">
        <v>601</v>
      </c>
      <c r="D27" s="2" t="s">
        <v>861</v>
      </c>
      <c r="E27" s="16" t="s">
        <v>907</v>
      </c>
    </row>
    <row r="28" spans="1:5" ht="29" hidden="1" x14ac:dyDescent="0.35">
      <c r="A28" s="3">
        <v>27</v>
      </c>
      <c r="B28" s="69" t="s">
        <v>908</v>
      </c>
      <c r="C28" s="3" t="s">
        <v>886</v>
      </c>
      <c r="D28" s="2" t="s">
        <v>861</v>
      </c>
      <c r="E28" s="16" t="s">
        <v>909</v>
      </c>
    </row>
    <row r="29" spans="1:5" ht="29" hidden="1" x14ac:dyDescent="0.35">
      <c r="A29" s="3">
        <v>28</v>
      </c>
      <c r="B29" s="69" t="s">
        <v>910</v>
      </c>
      <c r="C29" s="3" t="s">
        <v>886</v>
      </c>
      <c r="D29" s="2" t="s">
        <v>861</v>
      </c>
      <c r="E29" s="16" t="s">
        <v>911</v>
      </c>
    </row>
    <row r="30" spans="1:5" ht="29" x14ac:dyDescent="0.35">
      <c r="A30" s="3">
        <v>29</v>
      </c>
      <c r="B30" s="68" t="s">
        <v>912</v>
      </c>
      <c r="C30" s="3" t="s">
        <v>601</v>
      </c>
      <c r="D30" s="2" t="s">
        <v>861</v>
      </c>
      <c r="E30" s="16" t="s">
        <v>913</v>
      </c>
    </row>
    <row r="31" spans="1:5" ht="43.5" x14ac:dyDescent="0.35">
      <c r="A31" s="3">
        <v>30</v>
      </c>
      <c r="B31" s="68" t="s">
        <v>914</v>
      </c>
      <c r="C31" s="3" t="s">
        <v>601</v>
      </c>
      <c r="D31" s="2" t="s">
        <v>861</v>
      </c>
      <c r="E31" s="16" t="s">
        <v>915</v>
      </c>
    </row>
    <row r="32" spans="1:5" ht="43.5" x14ac:dyDescent="0.35">
      <c r="A32" s="3">
        <v>31</v>
      </c>
      <c r="B32" s="68" t="s">
        <v>916</v>
      </c>
      <c r="C32" s="3" t="s">
        <v>601</v>
      </c>
      <c r="D32" s="2" t="s">
        <v>861</v>
      </c>
      <c r="E32" s="16" t="s">
        <v>917</v>
      </c>
    </row>
    <row r="33" spans="1:5" ht="58" x14ac:dyDescent="0.35">
      <c r="A33" s="3">
        <v>32</v>
      </c>
      <c r="B33" s="68" t="s">
        <v>918</v>
      </c>
      <c r="C33" s="3" t="s">
        <v>601</v>
      </c>
      <c r="D33" s="2" t="s">
        <v>861</v>
      </c>
      <c r="E33" s="16" t="s">
        <v>919</v>
      </c>
    </row>
    <row r="34" spans="1:5" ht="29" x14ac:dyDescent="0.35">
      <c r="A34" s="3">
        <v>33</v>
      </c>
      <c r="B34" s="68" t="s">
        <v>920</v>
      </c>
      <c r="C34" s="3" t="s">
        <v>601</v>
      </c>
      <c r="D34" s="2" t="s">
        <v>861</v>
      </c>
      <c r="E34" s="16" t="s">
        <v>921</v>
      </c>
    </row>
    <row r="35" spans="1:5" ht="43.5" x14ac:dyDescent="0.35">
      <c r="A35" s="3">
        <v>34</v>
      </c>
      <c r="B35" s="68" t="s">
        <v>922</v>
      </c>
      <c r="C35" s="3" t="s">
        <v>601</v>
      </c>
      <c r="D35" s="2" t="s">
        <v>861</v>
      </c>
      <c r="E35" s="16" t="s">
        <v>923</v>
      </c>
    </row>
    <row r="36" spans="1:5" ht="43.5" x14ac:dyDescent="0.35">
      <c r="A36" s="3">
        <v>35</v>
      </c>
      <c r="B36" s="68" t="s">
        <v>924</v>
      </c>
      <c r="C36" s="3" t="s">
        <v>601</v>
      </c>
      <c r="D36" s="2" t="s">
        <v>861</v>
      </c>
      <c r="E36" s="16" t="s">
        <v>925</v>
      </c>
    </row>
    <row r="37" spans="1:5" ht="58" x14ac:dyDescent="0.35">
      <c r="A37" s="3">
        <v>36</v>
      </c>
      <c r="B37" s="68" t="s">
        <v>926</v>
      </c>
      <c r="C37" s="3" t="s">
        <v>601</v>
      </c>
      <c r="D37" s="2" t="s">
        <v>861</v>
      </c>
      <c r="E37" s="16" t="s">
        <v>927</v>
      </c>
    </row>
    <row r="38" spans="1:5" ht="29" hidden="1" x14ac:dyDescent="0.35">
      <c r="A38" s="3">
        <v>37</v>
      </c>
      <c r="B38" s="70" t="s">
        <v>928</v>
      </c>
      <c r="C38" s="3" t="s">
        <v>886</v>
      </c>
      <c r="D38" s="2" t="s">
        <v>861</v>
      </c>
      <c r="E38" s="16" t="s">
        <v>929</v>
      </c>
    </row>
    <row r="39" spans="1:5" ht="58" hidden="1" x14ac:dyDescent="0.35">
      <c r="A39" s="3">
        <v>38</v>
      </c>
      <c r="B39" s="70" t="s">
        <v>930</v>
      </c>
      <c r="C39" s="3" t="s">
        <v>886</v>
      </c>
      <c r="D39" s="2" t="s">
        <v>861</v>
      </c>
      <c r="E39" s="16" t="s">
        <v>931</v>
      </c>
    </row>
    <row r="40" spans="1:5" ht="29" x14ac:dyDescent="0.35">
      <c r="A40" s="3">
        <v>39</v>
      </c>
      <c r="B40" s="68" t="s">
        <v>932</v>
      </c>
      <c r="C40" s="3" t="s">
        <v>601</v>
      </c>
      <c r="D40" s="3" t="s">
        <v>861</v>
      </c>
      <c r="E40" s="16" t="s">
        <v>933</v>
      </c>
    </row>
    <row r="41" spans="1:5" ht="29" x14ac:dyDescent="0.35">
      <c r="A41" s="3">
        <v>40</v>
      </c>
      <c r="B41" s="68" t="s">
        <v>934</v>
      </c>
      <c r="C41" s="3" t="s">
        <v>601</v>
      </c>
      <c r="D41" s="3" t="s">
        <v>861</v>
      </c>
      <c r="E41" s="16" t="s">
        <v>935</v>
      </c>
    </row>
    <row r="42" spans="1:5" ht="43.5" x14ac:dyDescent="0.35">
      <c r="A42" s="3">
        <v>41</v>
      </c>
      <c r="B42" s="68" t="s">
        <v>936</v>
      </c>
      <c r="C42" s="3" t="s">
        <v>601</v>
      </c>
      <c r="D42" s="3" t="s">
        <v>861</v>
      </c>
      <c r="E42" s="16" t="s">
        <v>937</v>
      </c>
    </row>
    <row r="43" spans="1:5" ht="43.5" x14ac:dyDescent="0.35">
      <c r="A43" s="3">
        <v>42</v>
      </c>
      <c r="B43" s="68" t="s">
        <v>938</v>
      </c>
      <c r="C43" s="3" t="s">
        <v>601</v>
      </c>
      <c r="D43" s="3" t="s">
        <v>861</v>
      </c>
      <c r="E43" s="16" t="s">
        <v>939</v>
      </c>
    </row>
    <row r="44" spans="1:5" ht="43.5" hidden="1" x14ac:dyDescent="0.35">
      <c r="A44" s="3">
        <v>43</v>
      </c>
      <c r="B44" s="70" t="s">
        <v>940</v>
      </c>
      <c r="C44" s="3" t="s">
        <v>886</v>
      </c>
      <c r="D44" s="3" t="s">
        <v>861</v>
      </c>
      <c r="E44" s="16" t="s">
        <v>941</v>
      </c>
    </row>
    <row r="45" spans="1:5" ht="43.5" hidden="1" x14ac:dyDescent="0.35">
      <c r="A45" s="3">
        <v>44</v>
      </c>
      <c r="B45" s="70" t="s">
        <v>942</v>
      </c>
      <c r="C45" s="3" t="s">
        <v>886</v>
      </c>
      <c r="D45" s="3" t="s">
        <v>861</v>
      </c>
      <c r="E45" s="16" t="s">
        <v>943</v>
      </c>
    </row>
    <row r="46" spans="1:5" ht="58" hidden="1" x14ac:dyDescent="0.35">
      <c r="A46" s="3">
        <v>45</v>
      </c>
      <c r="B46" s="70" t="s">
        <v>944</v>
      </c>
      <c r="C46" s="3" t="s">
        <v>886</v>
      </c>
      <c r="D46" s="3" t="s">
        <v>861</v>
      </c>
      <c r="E46" s="16" t="s">
        <v>945</v>
      </c>
    </row>
    <row r="47" spans="1:5" x14ac:dyDescent="0.35">
      <c r="A47" s="3">
        <v>46</v>
      </c>
      <c r="B47" s="68" t="s">
        <v>946</v>
      </c>
      <c r="C47" s="3" t="s">
        <v>601</v>
      </c>
      <c r="D47" s="3" t="s">
        <v>861</v>
      </c>
      <c r="E47" s="16" t="s">
        <v>947</v>
      </c>
    </row>
    <row r="48" spans="1:5" ht="29" hidden="1" x14ac:dyDescent="0.35">
      <c r="A48" s="3">
        <v>47</v>
      </c>
      <c r="B48" s="70" t="s">
        <v>948</v>
      </c>
      <c r="C48" s="3" t="s">
        <v>886</v>
      </c>
      <c r="D48" s="3" t="s">
        <v>861</v>
      </c>
      <c r="E48" s="16" t="s">
        <v>949</v>
      </c>
    </row>
    <row r="49" spans="1:5" hidden="1" x14ac:dyDescent="0.35">
      <c r="A49" s="3">
        <v>48</v>
      </c>
      <c r="B49" s="19" t="s">
        <v>950</v>
      </c>
      <c r="C49" s="3" t="s">
        <v>601</v>
      </c>
      <c r="D49" s="3" t="s">
        <v>861</v>
      </c>
      <c r="E49" s="16" t="s">
        <v>951</v>
      </c>
    </row>
    <row r="50" spans="1:5" ht="29" hidden="1" x14ac:dyDescent="0.35">
      <c r="A50" s="3">
        <v>49</v>
      </c>
      <c r="B50" s="19" t="s">
        <v>952</v>
      </c>
      <c r="C50" s="3" t="s">
        <v>601</v>
      </c>
      <c r="D50" s="3" t="s">
        <v>861</v>
      </c>
      <c r="E50" s="16" t="s">
        <v>953</v>
      </c>
    </row>
    <row r="51" spans="1:5" ht="29" x14ac:dyDescent="0.35">
      <c r="A51" s="3">
        <v>50</v>
      </c>
      <c r="B51" s="67" t="s">
        <v>954</v>
      </c>
      <c r="C51" s="3" t="s">
        <v>601</v>
      </c>
      <c r="D51" s="3" t="s">
        <v>861</v>
      </c>
      <c r="E51" s="16" t="s">
        <v>955</v>
      </c>
    </row>
    <row r="52" spans="1:5" ht="43.5" x14ac:dyDescent="0.35">
      <c r="A52" s="3">
        <v>51</v>
      </c>
      <c r="B52" s="67" t="s">
        <v>956</v>
      </c>
      <c r="C52" s="3" t="s">
        <v>601</v>
      </c>
      <c r="D52" s="3" t="s">
        <v>861</v>
      </c>
      <c r="E52" s="16" t="s">
        <v>957</v>
      </c>
    </row>
    <row r="53" spans="1:5" ht="29" x14ac:dyDescent="0.35">
      <c r="A53" s="3">
        <v>52</v>
      </c>
      <c r="B53" s="67" t="s">
        <v>958</v>
      </c>
      <c r="C53" s="3" t="s">
        <v>601</v>
      </c>
      <c r="D53" s="3" t="s">
        <v>861</v>
      </c>
      <c r="E53" s="16" t="s">
        <v>959</v>
      </c>
    </row>
    <row r="54" spans="1:5" ht="29" x14ac:dyDescent="0.35">
      <c r="A54" s="3">
        <v>53</v>
      </c>
      <c r="B54" s="67" t="s">
        <v>960</v>
      </c>
      <c r="C54" s="3" t="s">
        <v>601</v>
      </c>
      <c r="D54" s="3" t="s">
        <v>861</v>
      </c>
      <c r="E54" s="16" t="s">
        <v>961</v>
      </c>
    </row>
    <row r="55" spans="1:5" ht="43.5" x14ac:dyDescent="0.35">
      <c r="A55" s="3">
        <v>54</v>
      </c>
      <c r="B55" s="67" t="s">
        <v>962</v>
      </c>
      <c r="C55" s="3" t="s">
        <v>601</v>
      </c>
      <c r="D55" s="3" t="s">
        <v>861</v>
      </c>
      <c r="E55" s="16" t="s">
        <v>963</v>
      </c>
    </row>
    <row r="56" spans="1:5" ht="43.5" x14ac:dyDescent="0.35">
      <c r="A56" s="3">
        <v>55</v>
      </c>
      <c r="B56" s="67" t="s">
        <v>964</v>
      </c>
      <c r="C56" s="3" t="s">
        <v>601</v>
      </c>
      <c r="D56" s="3" t="s">
        <v>861</v>
      </c>
      <c r="E56" s="16" t="s">
        <v>965</v>
      </c>
    </row>
    <row r="57" spans="1:5" ht="29" x14ac:dyDescent="0.35">
      <c r="A57" s="3">
        <v>56</v>
      </c>
      <c r="B57" s="67" t="s">
        <v>966</v>
      </c>
      <c r="C57" s="3" t="s">
        <v>601</v>
      </c>
      <c r="D57" s="3" t="s">
        <v>861</v>
      </c>
      <c r="E57" s="16" t="s">
        <v>967</v>
      </c>
    </row>
    <row r="58" spans="1:5" ht="58" x14ac:dyDescent="0.35">
      <c r="A58" s="3">
        <v>57</v>
      </c>
      <c r="B58" s="67" t="s">
        <v>968</v>
      </c>
      <c r="C58" s="3" t="s">
        <v>601</v>
      </c>
      <c r="D58" s="3" t="s">
        <v>861</v>
      </c>
      <c r="E58" s="16" t="s">
        <v>969</v>
      </c>
    </row>
    <row r="59" spans="1:5" ht="29" x14ac:dyDescent="0.35">
      <c r="A59" s="3">
        <v>58</v>
      </c>
      <c r="B59" s="67" t="s">
        <v>970</v>
      </c>
      <c r="C59" s="3" t="s">
        <v>601</v>
      </c>
      <c r="D59" s="3" t="s">
        <v>861</v>
      </c>
      <c r="E59" s="16" t="s">
        <v>971</v>
      </c>
    </row>
    <row r="60" spans="1:5" ht="29" x14ac:dyDescent="0.35">
      <c r="A60" s="3">
        <v>59</v>
      </c>
      <c r="B60" s="67" t="s">
        <v>972</v>
      </c>
      <c r="C60" s="3" t="s">
        <v>601</v>
      </c>
      <c r="D60" s="3" t="s">
        <v>861</v>
      </c>
      <c r="E60" s="16" t="s">
        <v>973</v>
      </c>
    </row>
    <row r="61" spans="1:5" ht="58" x14ac:dyDescent="0.35">
      <c r="A61" s="3">
        <v>60</v>
      </c>
      <c r="B61" s="67" t="s">
        <v>974</v>
      </c>
      <c r="C61" s="3" t="s">
        <v>601</v>
      </c>
      <c r="D61" s="3" t="s">
        <v>861</v>
      </c>
      <c r="E61" s="16" t="s">
        <v>975</v>
      </c>
    </row>
    <row r="62" spans="1:5" ht="58" x14ac:dyDescent="0.35">
      <c r="A62" s="3">
        <v>61</v>
      </c>
      <c r="B62" s="67" t="s">
        <v>976</v>
      </c>
      <c r="C62" s="3" t="s">
        <v>601</v>
      </c>
      <c r="D62" s="3" t="s">
        <v>861</v>
      </c>
      <c r="E62" s="16" t="s">
        <v>977</v>
      </c>
    </row>
    <row r="63" spans="1:5" ht="58" hidden="1" x14ac:dyDescent="0.35">
      <c r="A63" s="3">
        <v>62</v>
      </c>
      <c r="B63" s="71" t="s">
        <v>978</v>
      </c>
      <c r="C63" s="3" t="s">
        <v>886</v>
      </c>
      <c r="D63" s="3" t="s">
        <v>861</v>
      </c>
      <c r="E63" s="16" t="s">
        <v>979</v>
      </c>
    </row>
    <row r="64" spans="1:5" ht="43.5" hidden="1" x14ac:dyDescent="0.35">
      <c r="A64" s="3">
        <v>63</v>
      </c>
      <c r="B64" s="71" t="s">
        <v>980</v>
      </c>
      <c r="C64" s="3" t="s">
        <v>886</v>
      </c>
      <c r="D64" s="3" t="s">
        <v>861</v>
      </c>
      <c r="E64" s="16" t="s">
        <v>981</v>
      </c>
    </row>
    <row r="65" spans="1:5" ht="29" x14ac:dyDescent="0.35">
      <c r="A65" s="3">
        <v>64</v>
      </c>
      <c r="B65" s="67" t="s">
        <v>982</v>
      </c>
      <c r="C65" s="3" t="s">
        <v>601</v>
      </c>
      <c r="D65" s="3" t="s">
        <v>861</v>
      </c>
      <c r="E65" s="16" t="s">
        <v>983</v>
      </c>
    </row>
    <row r="66" spans="1:5" x14ac:dyDescent="0.35">
      <c r="A66" s="3">
        <v>65</v>
      </c>
      <c r="B66" s="67" t="s">
        <v>984</v>
      </c>
      <c r="C66" s="3" t="s">
        <v>601</v>
      </c>
      <c r="D66" s="3" t="s">
        <v>861</v>
      </c>
      <c r="E66" s="16" t="s">
        <v>985</v>
      </c>
    </row>
    <row r="67" spans="1:5" ht="29" x14ac:dyDescent="0.35">
      <c r="A67" s="3">
        <v>66</v>
      </c>
      <c r="B67" s="67" t="s">
        <v>986</v>
      </c>
      <c r="C67" s="3" t="s">
        <v>601</v>
      </c>
      <c r="D67" s="3" t="s">
        <v>861</v>
      </c>
      <c r="E67" s="16" t="s">
        <v>987</v>
      </c>
    </row>
    <row r="68" spans="1:5" ht="29" x14ac:dyDescent="0.35">
      <c r="A68" s="3">
        <v>67</v>
      </c>
      <c r="B68" s="68" t="s">
        <v>988</v>
      </c>
      <c r="C68" s="3" t="s">
        <v>601</v>
      </c>
      <c r="D68" s="3" t="s">
        <v>861</v>
      </c>
      <c r="E68" s="16" t="s">
        <v>989</v>
      </c>
    </row>
    <row r="69" spans="1:5" ht="43.5" x14ac:dyDescent="0.35">
      <c r="A69" s="3">
        <v>68</v>
      </c>
      <c r="B69" s="68" t="s">
        <v>990</v>
      </c>
      <c r="C69" s="3" t="s">
        <v>601</v>
      </c>
      <c r="D69" s="3" t="s">
        <v>861</v>
      </c>
      <c r="E69" s="16" t="s">
        <v>991</v>
      </c>
    </row>
    <row r="70" spans="1:5" ht="29" hidden="1" x14ac:dyDescent="0.35">
      <c r="A70" s="3">
        <v>69</v>
      </c>
      <c r="B70" s="70" t="s">
        <v>992</v>
      </c>
      <c r="C70" s="3" t="s">
        <v>886</v>
      </c>
      <c r="D70" s="3" t="s">
        <v>861</v>
      </c>
      <c r="E70" s="16" t="s">
        <v>993</v>
      </c>
    </row>
    <row r="71" spans="1:5" ht="43.5" hidden="1" x14ac:dyDescent="0.35">
      <c r="A71" s="3">
        <v>70</v>
      </c>
      <c r="B71" s="70" t="s">
        <v>994</v>
      </c>
      <c r="C71" s="3" t="s">
        <v>886</v>
      </c>
      <c r="D71" s="3" t="s">
        <v>861</v>
      </c>
      <c r="E71" s="16" t="s">
        <v>995</v>
      </c>
    </row>
    <row r="72" spans="1:5" ht="29" x14ac:dyDescent="0.35">
      <c r="A72" s="3">
        <v>71</v>
      </c>
      <c r="B72" s="68" t="s">
        <v>996</v>
      </c>
      <c r="C72" s="3" t="s">
        <v>601</v>
      </c>
      <c r="D72" s="3" t="s">
        <v>861</v>
      </c>
      <c r="E72" s="16" t="s">
        <v>997</v>
      </c>
    </row>
    <row r="73" spans="1:5" ht="43.5" x14ac:dyDescent="0.35">
      <c r="A73" s="3">
        <v>72</v>
      </c>
      <c r="B73" s="68" t="s">
        <v>998</v>
      </c>
      <c r="C73" s="3" t="s">
        <v>601</v>
      </c>
      <c r="D73" s="3" t="s">
        <v>861</v>
      </c>
      <c r="E73" s="16" t="s">
        <v>999</v>
      </c>
    </row>
    <row r="74" spans="1:5" ht="29" x14ac:dyDescent="0.35">
      <c r="A74" s="3">
        <v>73</v>
      </c>
      <c r="B74" s="68" t="s">
        <v>1000</v>
      </c>
      <c r="C74" s="3" t="s">
        <v>601</v>
      </c>
      <c r="D74" s="3" t="s">
        <v>861</v>
      </c>
      <c r="E74" s="16" t="s">
        <v>1001</v>
      </c>
    </row>
    <row r="75" spans="1:5" ht="29" x14ac:dyDescent="0.35">
      <c r="A75" s="3">
        <v>74</v>
      </c>
      <c r="B75" s="68" t="s">
        <v>1002</v>
      </c>
      <c r="C75" s="3" t="s">
        <v>601</v>
      </c>
      <c r="D75" s="3" t="s">
        <v>861</v>
      </c>
      <c r="E75" s="16" t="s">
        <v>1003</v>
      </c>
    </row>
    <row r="76" spans="1:5" ht="43.5" x14ac:dyDescent="0.35">
      <c r="A76" s="3">
        <v>75</v>
      </c>
      <c r="B76" s="74" t="s">
        <v>1004</v>
      </c>
      <c r="C76" s="3" t="s">
        <v>601</v>
      </c>
      <c r="D76" s="3" t="s">
        <v>861</v>
      </c>
      <c r="E76" s="16" t="s">
        <v>1005</v>
      </c>
    </row>
    <row r="77" spans="1:5" ht="58" x14ac:dyDescent="0.35">
      <c r="A77" s="3">
        <v>76</v>
      </c>
      <c r="B77" s="74" t="s">
        <v>1006</v>
      </c>
      <c r="C77" s="3" t="s">
        <v>601</v>
      </c>
      <c r="D77" s="3" t="s">
        <v>861</v>
      </c>
      <c r="E77" s="16" t="s">
        <v>1007</v>
      </c>
    </row>
    <row r="78" spans="1:5" ht="29" hidden="1" x14ac:dyDescent="0.35">
      <c r="A78" s="3">
        <v>77</v>
      </c>
      <c r="B78" s="70" t="s">
        <v>1008</v>
      </c>
      <c r="C78" s="3" t="s">
        <v>886</v>
      </c>
      <c r="D78" s="3" t="s">
        <v>861</v>
      </c>
      <c r="E78" s="16" t="s">
        <v>1009</v>
      </c>
    </row>
    <row r="79" spans="1:5" ht="29" hidden="1" x14ac:dyDescent="0.35">
      <c r="A79" s="3">
        <v>78</v>
      </c>
      <c r="B79" s="70" t="s">
        <v>1010</v>
      </c>
      <c r="C79" s="3" t="s">
        <v>886</v>
      </c>
      <c r="D79" s="3" t="s">
        <v>861</v>
      </c>
      <c r="E79" s="16" t="s">
        <v>1011</v>
      </c>
    </row>
    <row r="80" spans="1:5" hidden="1" x14ac:dyDescent="0.35">
      <c r="A80" s="3">
        <v>79</v>
      </c>
      <c r="B80" s="16" t="s">
        <v>1012</v>
      </c>
      <c r="C80" s="3" t="s">
        <v>601</v>
      </c>
      <c r="D80" s="2" t="s">
        <v>861</v>
      </c>
      <c r="E80" s="16"/>
    </row>
    <row r="81" spans="1:5" hidden="1" x14ac:dyDescent="0.35">
      <c r="A81" s="3">
        <v>80</v>
      </c>
      <c r="B81" s="16" t="s">
        <v>1013</v>
      </c>
      <c r="C81" s="3" t="s">
        <v>601</v>
      </c>
      <c r="D81" s="2" t="s">
        <v>861</v>
      </c>
      <c r="E81" s="16"/>
    </row>
    <row r="82" spans="1:5" ht="29" hidden="1" x14ac:dyDescent="0.35">
      <c r="A82" s="3">
        <v>81</v>
      </c>
      <c r="B82" s="16" t="s">
        <v>1014</v>
      </c>
      <c r="C82" s="3" t="s">
        <v>601</v>
      </c>
      <c r="D82" s="2" t="s">
        <v>861</v>
      </c>
      <c r="E82" s="16"/>
    </row>
    <row r="83" spans="1:5" ht="29" hidden="1" x14ac:dyDescent="0.35">
      <c r="A83" s="3">
        <v>82</v>
      </c>
      <c r="B83" s="16" t="s">
        <v>1015</v>
      </c>
      <c r="C83" s="3" t="s">
        <v>601</v>
      </c>
      <c r="D83" s="2" t="s">
        <v>861</v>
      </c>
      <c r="E83" s="16"/>
    </row>
    <row r="84" spans="1:5" ht="29" hidden="1" x14ac:dyDescent="0.35">
      <c r="A84" s="3">
        <v>83</v>
      </c>
      <c r="B84" s="16" t="s">
        <v>1016</v>
      </c>
      <c r="C84" s="3" t="s">
        <v>601</v>
      </c>
      <c r="D84" s="2" t="s">
        <v>861</v>
      </c>
      <c r="E84" s="16"/>
    </row>
    <row r="85" spans="1:5" ht="29" hidden="1" x14ac:dyDescent="0.35">
      <c r="A85" s="3">
        <v>84</v>
      </c>
      <c r="B85" s="16" t="s">
        <v>1017</v>
      </c>
      <c r="C85" s="3" t="s">
        <v>601</v>
      </c>
      <c r="D85" s="2" t="s">
        <v>861</v>
      </c>
      <c r="E85" s="16"/>
    </row>
    <row r="86" spans="1:5" hidden="1" x14ac:dyDescent="0.35">
      <c r="A86" s="3">
        <v>85</v>
      </c>
      <c r="B86" s="16" t="s">
        <v>1018</v>
      </c>
      <c r="C86" s="3" t="s">
        <v>601</v>
      </c>
      <c r="D86" s="2" t="s">
        <v>861</v>
      </c>
      <c r="E86" s="16"/>
    </row>
    <row r="87" spans="1:5" ht="29" hidden="1" x14ac:dyDescent="0.35">
      <c r="A87" s="3">
        <v>86</v>
      </c>
      <c r="B87" s="16" t="s">
        <v>1019</v>
      </c>
      <c r="C87" s="3" t="s">
        <v>886</v>
      </c>
      <c r="D87" s="2" t="s">
        <v>861</v>
      </c>
      <c r="E87" s="16"/>
    </row>
    <row r="88" spans="1:5" ht="29" hidden="1" x14ac:dyDescent="0.35">
      <c r="A88" s="3">
        <v>87</v>
      </c>
      <c r="B88" s="16" t="s">
        <v>1020</v>
      </c>
      <c r="C88" s="3" t="s">
        <v>601</v>
      </c>
      <c r="D88" s="2" t="s">
        <v>861</v>
      </c>
      <c r="E88" s="16"/>
    </row>
    <row r="89" spans="1:5" ht="43.5" hidden="1" x14ac:dyDescent="0.35">
      <c r="A89" s="3">
        <v>88</v>
      </c>
      <c r="B89" s="16" t="s">
        <v>1021</v>
      </c>
      <c r="C89" s="3" t="s">
        <v>601</v>
      </c>
      <c r="D89" s="2" t="s">
        <v>861</v>
      </c>
      <c r="E89" s="16"/>
    </row>
    <row r="90" spans="1:5" ht="43.5" hidden="1" x14ac:dyDescent="0.35">
      <c r="A90" s="3">
        <v>89</v>
      </c>
      <c r="B90" s="19" t="s">
        <v>1029</v>
      </c>
      <c r="C90" s="3" t="s">
        <v>886</v>
      </c>
      <c r="D90" s="2" t="s">
        <v>1030</v>
      </c>
      <c r="E90" s="16" t="s">
        <v>1031</v>
      </c>
    </row>
    <row r="91" spans="1:5" ht="29" hidden="1" x14ac:dyDescent="0.35">
      <c r="A91" s="3">
        <v>90</v>
      </c>
      <c r="B91" s="72" t="s">
        <v>1032</v>
      </c>
      <c r="C91" s="3" t="s">
        <v>886</v>
      </c>
      <c r="D91" s="3" t="s">
        <v>1030</v>
      </c>
      <c r="E91" s="16" t="s">
        <v>1033</v>
      </c>
    </row>
    <row r="92" spans="1:5" ht="43.5" hidden="1" x14ac:dyDescent="0.35">
      <c r="A92" s="3">
        <v>91</v>
      </c>
      <c r="B92" s="16" t="s">
        <v>1034</v>
      </c>
      <c r="C92" s="3" t="s">
        <v>886</v>
      </c>
      <c r="D92" s="2" t="s">
        <v>1030</v>
      </c>
      <c r="E92" s="3"/>
    </row>
    <row r="93" spans="1:5" ht="29" hidden="1" x14ac:dyDescent="0.35">
      <c r="A93" s="3">
        <v>92</v>
      </c>
      <c r="B93" s="71" t="s">
        <v>1035</v>
      </c>
      <c r="C93" s="3" t="s">
        <v>886</v>
      </c>
      <c r="D93" s="3" t="s">
        <v>1036</v>
      </c>
      <c r="E93" s="16" t="s">
        <v>1037</v>
      </c>
    </row>
    <row r="94" spans="1:5" ht="29" hidden="1" x14ac:dyDescent="0.35">
      <c r="A94" s="3">
        <v>93</v>
      </c>
      <c r="B94" s="71" t="s">
        <v>1038</v>
      </c>
      <c r="C94" s="3" t="s">
        <v>886</v>
      </c>
      <c r="D94" s="3" t="s">
        <v>1036</v>
      </c>
      <c r="E94" s="16" t="s">
        <v>1039</v>
      </c>
    </row>
    <row r="95" spans="1:5" ht="29" hidden="1" x14ac:dyDescent="0.35">
      <c r="A95" s="3">
        <v>94</v>
      </c>
      <c r="B95" s="71" t="s">
        <v>1040</v>
      </c>
      <c r="C95" s="3" t="s">
        <v>886</v>
      </c>
      <c r="D95" s="3" t="s">
        <v>1036</v>
      </c>
      <c r="E95" s="16" t="s">
        <v>1041</v>
      </c>
    </row>
    <row r="96" spans="1:5" ht="29" hidden="1" x14ac:dyDescent="0.35">
      <c r="A96" s="3">
        <v>95</v>
      </c>
      <c r="B96" s="71" t="s">
        <v>1042</v>
      </c>
      <c r="C96" s="3" t="s">
        <v>886</v>
      </c>
      <c r="D96" s="3" t="s">
        <v>1036</v>
      </c>
      <c r="E96" s="19" t="s">
        <v>1043</v>
      </c>
    </row>
    <row r="97" spans="1:5" ht="43.5" hidden="1" x14ac:dyDescent="0.35">
      <c r="A97" s="3">
        <v>96</v>
      </c>
      <c r="B97" s="71" t="s">
        <v>1044</v>
      </c>
      <c r="C97" s="3" t="s">
        <v>886</v>
      </c>
      <c r="D97" s="3" t="s">
        <v>1036</v>
      </c>
      <c r="E97" s="16" t="s">
        <v>1045</v>
      </c>
    </row>
    <row r="98" spans="1:5" ht="43.5" hidden="1" x14ac:dyDescent="0.35">
      <c r="A98" s="3">
        <v>97</v>
      </c>
      <c r="B98" s="71" t="s">
        <v>1046</v>
      </c>
      <c r="C98" s="3" t="s">
        <v>886</v>
      </c>
      <c r="D98" s="3" t="s">
        <v>1036</v>
      </c>
      <c r="E98" s="16" t="s">
        <v>1047</v>
      </c>
    </row>
    <row r="99" spans="1:5" ht="29" hidden="1" x14ac:dyDescent="0.35">
      <c r="A99" s="3">
        <v>98</v>
      </c>
      <c r="B99" s="71" t="s">
        <v>1048</v>
      </c>
      <c r="C99" s="3" t="s">
        <v>886</v>
      </c>
      <c r="D99" s="3" t="s">
        <v>1036</v>
      </c>
      <c r="E99" s="16" t="s">
        <v>1049</v>
      </c>
    </row>
    <row r="100" spans="1:5" ht="29" hidden="1" x14ac:dyDescent="0.35">
      <c r="A100" s="3">
        <v>99</v>
      </c>
      <c r="B100" s="71" t="s">
        <v>1050</v>
      </c>
      <c r="C100" s="3" t="s">
        <v>886</v>
      </c>
      <c r="D100" s="3" t="s">
        <v>1036</v>
      </c>
      <c r="E100" s="16" t="s">
        <v>1051</v>
      </c>
    </row>
    <row r="101" spans="1:5" ht="29" hidden="1" x14ac:dyDescent="0.35">
      <c r="A101" s="3">
        <v>100</v>
      </c>
      <c r="B101" s="71" t="s">
        <v>1052</v>
      </c>
      <c r="C101" s="3" t="s">
        <v>886</v>
      </c>
      <c r="D101" s="3" t="s">
        <v>1036</v>
      </c>
      <c r="E101" s="16" t="s">
        <v>1053</v>
      </c>
    </row>
    <row r="102" spans="1:5" hidden="1" x14ac:dyDescent="0.35">
      <c r="A102" s="3">
        <v>101</v>
      </c>
      <c r="B102" s="19" t="s">
        <v>1054</v>
      </c>
      <c r="C102" s="3" t="s">
        <v>886</v>
      </c>
      <c r="D102" s="2" t="s">
        <v>1036</v>
      </c>
      <c r="E102" s="16"/>
    </row>
    <row r="103" spans="1:5" ht="29" hidden="1" x14ac:dyDescent="0.35">
      <c r="A103" s="3">
        <v>102</v>
      </c>
      <c r="B103" s="16" t="s">
        <v>1055</v>
      </c>
      <c r="C103" s="3" t="s">
        <v>886</v>
      </c>
      <c r="D103" s="3" t="s">
        <v>1036</v>
      </c>
      <c r="E103" s="16"/>
    </row>
    <row r="104" spans="1:5" ht="29" hidden="1" x14ac:dyDescent="0.35">
      <c r="A104" s="3">
        <v>103</v>
      </c>
      <c r="B104" s="16" t="s">
        <v>1056</v>
      </c>
      <c r="C104" s="3" t="s">
        <v>886</v>
      </c>
      <c r="D104" s="3" t="s">
        <v>1036</v>
      </c>
      <c r="E104" s="16"/>
    </row>
    <row r="105" spans="1:5" hidden="1" x14ac:dyDescent="0.35">
      <c r="A105" s="3">
        <v>104</v>
      </c>
      <c r="B105" s="73" t="s">
        <v>1057</v>
      </c>
      <c r="C105" s="3" t="s">
        <v>886</v>
      </c>
      <c r="D105" s="3" t="s">
        <v>1036</v>
      </c>
      <c r="E105" s="16"/>
    </row>
    <row r="106" spans="1:5" hidden="1" x14ac:dyDescent="0.35">
      <c r="A106" s="3">
        <v>105</v>
      </c>
      <c r="B106" s="73" t="s">
        <v>1058</v>
      </c>
      <c r="C106" s="3" t="s">
        <v>886</v>
      </c>
      <c r="D106" s="3" t="s">
        <v>1036</v>
      </c>
      <c r="E106" s="16"/>
    </row>
    <row r="107" spans="1:5" ht="29" hidden="1" x14ac:dyDescent="0.35">
      <c r="A107" s="3">
        <v>106</v>
      </c>
      <c r="B107" s="73" t="s">
        <v>1059</v>
      </c>
      <c r="C107" s="3" t="s">
        <v>886</v>
      </c>
      <c r="D107" s="3" t="s">
        <v>1036</v>
      </c>
      <c r="E107" s="16"/>
    </row>
    <row r="108" spans="1:5" ht="29" hidden="1" x14ac:dyDescent="0.35">
      <c r="A108" s="3">
        <v>107</v>
      </c>
      <c r="B108" s="73" t="s">
        <v>1060</v>
      </c>
      <c r="C108" s="3" t="s">
        <v>886</v>
      </c>
      <c r="D108" s="3" t="s">
        <v>1036</v>
      </c>
      <c r="E108" s="16"/>
    </row>
    <row r="109" spans="1:5" ht="29" hidden="1" x14ac:dyDescent="0.35">
      <c r="A109" s="3">
        <v>108</v>
      </c>
      <c r="B109" s="73" t="s">
        <v>1061</v>
      </c>
      <c r="C109" s="3" t="s">
        <v>886</v>
      </c>
      <c r="D109" s="3" t="s">
        <v>1036</v>
      </c>
      <c r="E109" s="16"/>
    </row>
    <row r="110" spans="1:5" ht="29" hidden="1" x14ac:dyDescent="0.35">
      <c r="A110" s="3">
        <v>109</v>
      </c>
      <c r="B110" s="73" t="s">
        <v>1062</v>
      </c>
      <c r="C110" s="3" t="s">
        <v>886</v>
      </c>
      <c r="D110" s="3" t="s">
        <v>1036</v>
      </c>
      <c r="E110" s="16"/>
    </row>
    <row r="111" spans="1:5" ht="29" hidden="1" x14ac:dyDescent="0.35">
      <c r="A111" s="3">
        <v>110</v>
      </c>
      <c r="B111" s="73" t="s">
        <v>1063</v>
      </c>
      <c r="C111" s="3" t="s">
        <v>886</v>
      </c>
      <c r="D111" s="3" t="s">
        <v>1036</v>
      </c>
      <c r="E111" s="16"/>
    </row>
    <row r="112" spans="1:5" ht="29" hidden="1" x14ac:dyDescent="0.35">
      <c r="A112" s="3">
        <v>111</v>
      </c>
      <c r="B112" s="73" t="s">
        <v>1064</v>
      </c>
      <c r="C112" s="3" t="s">
        <v>886</v>
      </c>
      <c r="D112" s="3" t="s">
        <v>1036</v>
      </c>
      <c r="E112" s="16"/>
    </row>
    <row r="113" spans="1:5" ht="43.5" hidden="1" x14ac:dyDescent="0.35">
      <c r="A113" s="3">
        <v>112</v>
      </c>
      <c r="B113" s="73" t="s">
        <v>1065</v>
      </c>
      <c r="C113" s="3" t="s">
        <v>886</v>
      </c>
      <c r="D113" s="3" t="s">
        <v>1036</v>
      </c>
      <c r="E113" s="16"/>
    </row>
    <row r="114" spans="1:5" ht="43.5" hidden="1" x14ac:dyDescent="0.35">
      <c r="A114" s="3">
        <v>113</v>
      </c>
      <c r="B114" s="73" t="s">
        <v>1066</v>
      </c>
      <c r="C114" s="3" t="s">
        <v>886</v>
      </c>
      <c r="D114" s="3" t="s">
        <v>1036</v>
      </c>
      <c r="E114" s="16"/>
    </row>
    <row r="115" spans="1:5" ht="43.5" hidden="1" x14ac:dyDescent="0.35">
      <c r="A115" s="3">
        <v>114</v>
      </c>
      <c r="B115" s="16" t="s">
        <v>1067</v>
      </c>
      <c r="C115" s="3" t="s">
        <v>886</v>
      </c>
      <c r="D115" s="3" t="s">
        <v>1036</v>
      </c>
      <c r="E115" s="16"/>
    </row>
    <row r="116" spans="1:5" ht="43.5" hidden="1" x14ac:dyDescent="0.35">
      <c r="A116" s="3">
        <v>115</v>
      </c>
      <c r="B116" s="16" t="s">
        <v>1068</v>
      </c>
      <c r="C116" s="3" t="s">
        <v>886</v>
      </c>
      <c r="D116" s="3" t="s">
        <v>1036</v>
      </c>
      <c r="E116" s="16"/>
    </row>
    <row r="117" spans="1:5" ht="43.5" hidden="1" x14ac:dyDescent="0.35">
      <c r="A117" s="3">
        <v>116</v>
      </c>
      <c r="B117" s="16" t="s">
        <v>1069</v>
      </c>
      <c r="C117" s="3" t="s">
        <v>886</v>
      </c>
      <c r="D117" s="3" t="s">
        <v>1036</v>
      </c>
      <c r="E117" s="16"/>
    </row>
    <row r="118" spans="1:5" ht="43.5" hidden="1" x14ac:dyDescent="0.35">
      <c r="A118" s="3">
        <v>117</v>
      </c>
      <c r="B118" s="16" t="s">
        <v>1070</v>
      </c>
      <c r="C118" s="3" t="s">
        <v>886</v>
      </c>
      <c r="D118" s="3" t="s">
        <v>1036</v>
      </c>
      <c r="E118" s="16"/>
    </row>
    <row r="119" spans="1:5" hidden="1" x14ac:dyDescent="0.35">
      <c r="A119" s="3">
        <v>118</v>
      </c>
      <c r="B119" s="19" t="s">
        <v>1071</v>
      </c>
      <c r="C119" s="3" t="s">
        <v>1089</v>
      </c>
      <c r="D119" s="3" t="s">
        <v>1088</v>
      </c>
      <c r="E119" s="16"/>
    </row>
    <row r="120" spans="1:5" hidden="1" x14ac:dyDescent="0.35">
      <c r="A120" s="3">
        <v>119</v>
      </c>
      <c r="B120" s="19" t="s">
        <v>1072</v>
      </c>
      <c r="C120" s="3" t="s">
        <v>1089</v>
      </c>
      <c r="D120" s="3" t="s">
        <v>1088</v>
      </c>
      <c r="E120" s="16"/>
    </row>
    <row r="121" spans="1:5" hidden="1" x14ac:dyDescent="0.35">
      <c r="A121" s="3">
        <v>120</v>
      </c>
      <c r="B121" s="19" t="s">
        <v>1073</v>
      </c>
      <c r="C121" s="3" t="s">
        <v>1089</v>
      </c>
      <c r="D121" s="3" t="s">
        <v>1088</v>
      </c>
      <c r="E121" s="16"/>
    </row>
    <row r="122" spans="1:5" hidden="1" x14ac:dyDescent="0.35">
      <c r="A122" s="3">
        <v>121</v>
      </c>
      <c r="B122" s="19" t="s">
        <v>1074</v>
      </c>
      <c r="C122" s="3" t="s">
        <v>1089</v>
      </c>
      <c r="D122" s="3" t="s">
        <v>1088</v>
      </c>
      <c r="E122" s="16"/>
    </row>
    <row r="123" spans="1:5" hidden="1" x14ac:dyDescent="0.35">
      <c r="A123" s="3">
        <v>122</v>
      </c>
      <c r="B123" s="19" t="s">
        <v>1075</v>
      </c>
      <c r="C123" s="3" t="s">
        <v>1089</v>
      </c>
      <c r="D123" s="3" t="s">
        <v>1088</v>
      </c>
      <c r="E123" s="16"/>
    </row>
    <row r="124" spans="1:5" hidden="1" x14ac:dyDescent="0.35">
      <c r="A124" s="3">
        <v>123</v>
      </c>
      <c r="B124" s="19" t="s">
        <v>1076</v>
      </c>
      <c r="C124" s="3" t="s">
        <v>1089</v>
      </c>
      <c r="D124" s="3" t="s">
        <v>1088</v>
      </c>
      <c r="E124" s="16"/>
    </row>
    <row r="125" spans="1:5" hidden="1" x14ac:dyDescent="0.35">
      <c r="A125" s="3">
        <v>124</v>
      </c>
      <c r="B125" s="19" t="s">
        <v>1077</v>
      </c>
      <c r="C125" s="3" t="s">
        <v>1089</v>
      </c>
      <c r="D125" s="3" t="s">
        <v>1088</v>
      </c>
      <c r="E125" s="16"/>
    </row>
    <row r="126" spans="1:5" hidden="1" x14ac:dyDescent="0.35">
      <c r="A126" s="3">
        <v>125</v>
      </c>
      <c r="B126" s="19" t="s">
        <v>1078</v>
      </c>
      <c r="C126" s="3" t="s">
        <v>1089</v>
      </c>
      <c r="D126" s="3" t="s">
        <v>1088</v>
      </c>
      <c r="E126" s="16"/>
    </row>
    <row r="127" spans="1:5" hidden="1" x14ac:dyDescent="0.35">
      <c r="A127" s="3">
        <v>126</v>
      </c>
      <c r="B127" s="19" t="s">
        <v>1079</v>
      </c>
      <c r="C127" s="3" t="s">
        <v>1089</v>
      </c>
      <c r="D127" s="3" t="s">
        <v>1088</v>
      </c>
      <c r="E127" s="16"/>
    </row>
    <row r="128" spans="1:5" hidden="1" x14ac:dyDescent="0.35">
      <c r="A128" s="3">
        <v>127</v>
      </c>
      <c r="B128" s="19" t="s">
        <v>1080</v>
      </c>
      <c r="C128" s="3" t="s">
        <v>1089</v>
      </c>
      <c r="D128" s="3" t="s">
        <v>1088</v>
      </c>
      <c r="E128" s="16"/>
    </row>
    <row r="129" spans="1:5" ht="29" hidden="1" x14ac:dyDescent="0.35">
      <c r="A129" s="3">
        <v>128</v>
      </c>
      <c r="B129" s="16" t="s">
        <v>1081</v>
      </c>
      <c r="C129" s="3" t="s">
        <v>601</v>
      </c>
      <c r="D129" s="3" t="s">
        <v>1088</v>
      </c>
      <c r="E129" s="16"/>
    </row>
    <row r="130" spans="1:5" ht="29" hidden="1" x14ac:dyDescent="0.35">
      <c r="A130" s="3">
        <v>129</v>
      </c>
      <c r="B130" s="16" t="s">
        <v>1082</v>
      </c>
      <c r="C130" s="3" t="s">
        <v>601</v>
      </c>
      <c r="D130" s="3" t="s">
        <v>1088</v>
      </c>
      <c r="E130" s="16"/>
    </row>
    <row r="131" spans="1:5" ht="43.5" hidden="1" x14ac:dyDescent="0.35">
      <c r="A131" s="3">
        <v>130</v>
      </c>
      <c r="B131" s="72" t="s">
        <v>1083</v>
      </c>
      <c r="C131" s="3" t="s">
        <v>601</v>
      </c>
      <c r="D131" s="3" t="s">
        <v>817</v>
      </c>
      <c r="E131" s="16" t="s">
        <v>1084</v>
      </c>
    </row>
    <row r="132" spans="1:5" ht="43.5" hidden="1" x14ac:dyDescent="0.35">
      <c r="A132" s="3">
        <v>131</v>
      </c>
      <c r="B132" s="16" t="s">
        <v>1085</v>
      </c>
      <c r="C132" s="3" t="s">
        <v>601</v>
      </c>
      <c r="D132" s="3" t="s">
        <v>817</v>
      </c>
      <c r="E132" s="16"/>
    </row>
    <row r="133" spans="1:5" ht="29" hidden="1" x14ac:dyDescent="0.35">
      <c r="A133" s="3">
        <v>132</v>
      </c>
      <c r="B133" s="16" t="s">
        <v>1086</v>
      </c>
      <c r="C133" s="3" t="s">
        <v>886</v>
      </c>
      <c r="D133" s="3" t="s">
        <v>817</v>
      </c>
      <c r="E133" s="16"/>
    </row>
    <row r="134" spans="1:5" ht="29" hidden="1" x14ac:dyDescent="0.35">
      <c r="A134" s="3">
        <v>133</v>
      </c>
      <c r="B134" s="16" t="s">
        <v>1087</v>
      </c>
      <c r="C134" s="3" t="s">
        <v>886</v>
      </c>
      <c r="D134" s="3" t="s">
        <v>817</v>
      </c>
      <c r="E134" s="16"/>
    </row>
  </sheetData>
  <autoFilter ref="A1:E134">
    <filterColumn colId="1">
      <colorFilter dxfId="0"/>
    </filterColumn>
  </autoFilter>
  <printOptions horizontalCentered="1"/>
  <pageMargins left="0.7" right="0.7" top="0.75" bottom="0.75" header="0.3" footer="0.3"/>
  <pageSetup orientation="portrait" r:id="rId1"/>
  <headerFooter>
    <oddHeader>&amp;L&amp;"Calibri"&amp;11&amp;K6C8000 INTERNAL WITH PII</oddHeader>
    <oddFooter>&amp;L&amp;"Calibri"&amp;11&amp;K6C8000 INTERNAL WITH PII</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Klassify>
  <SNO>1</SNO>
  <KDate>2025-07-09 16:19:57</KDate>
  <Classification>PUBLIC</Classification>
  <Subclassification/>
  <HostName>AAVAS-VDI-444</HostName>
  <Domain_User>AAVAS/ey.skumar</Domain_User>
  <IPAdd>10.52.57.169</IPAdd>
  <FilePath>Book2</FilePath>
  <KID>4E34AE37D89B638876747977933409</KID>
  <UniqueName/>
  <Suggested/>
  <Justification/>
</Klassify>
</file>

<file path=customXml/item2.xml><?xml version="1.0" encoding="utf-8"?>
<Klassify>
  <SNO>2</SNO>
  <KDate>2025-07-09 17:32:21</KDate>
  <Classification>INTERNAL WITH PII</Classification>
  <Subclassification/>
  <HostName>AAVAS-VDI-444</HostName>
  <Domain_User>AAVAS/ey.skumar</Domain_User>
  <IPAdd>10.52.57.169</IPAdd>
  <FilePath>C:\Users\ey.skumar\Documents\Collection Data Models\Collection Data Dictionary_07_07_2025.xlsx</FilePath>
  <KID>4E34AE37D89B638876747977933409</KID>
  <UniqueName>Indian Uniform Bank Account Number,Indian Ration Card Number</UniqueName>
  <Suggested>INTERNAL WITH PII</Suggested>
  <Justification/>
</Klassify>
</file>

<file path=customXml/itemProps1.xml><?xml version="1.0" encoding="utf-8"?>
<ds:datastoreItem xmlns:ds="http://schemas.openxmlformats.org/officeDocument/2006/customXml" ds:itemID="{79D13C4D-F6F0-4F0E-ABEF-3EB844AD1E9D}">
  <ds:schemaRefs/>
</ds:datastoreItem>
</file>

<file path=customXml/itemProps2.xml><?xml version="1.0" encoding="utf-8"?>
<ds:datastoreItem xmlns:ds="http://schemas.openxmlformats.org/officeDocument/2006/customXml" ds:itemID="{83575A77-6971-407B-BC22-50328E44A1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Coll_Duelist</vt:lpstr>
      <vt:lpstr>Collection Hierarchy</vt:lpstr>
      <vt:lpstr>Collection Bounce</vt:lpstr>
      <vt:lpstr>Coll_Case_DTL</vt:lpstr>
      <vt:lpstr>STAGE_INSTRUMENT_DTL</vt:lpstr>
      <vt:lpstr>COLL_FOLLOW_UP_TRAILS</vt:lpstr>
      <vt:lpstr>DELINQUENCY_MART</vt:lpstr>
      <vt:lpstr>INTERACTION_TRAIL</vt:lpstr>
      <vt:lpstr>Sarfaesi MIS</vt:lpstr>
      <vt:lpstr>Litigation Against</vt:lpstr>
      <vt:lpstr>Litigation By</vt:lpstr>
      <vt:lpstr>MIS 138 and Sec 25</vt:lpstr>
      <vt:lpstr>BW Execution Status</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ey.skumar</dc:creator>
  <cp:keywords>INTERNAL WITH PII</cp:keywords>
  <cp:lastModifiedBy>ey.skumar</cp:lastModifiedBy>
  <dcterms:created xsi:type="dcterms:W3CDTF">2025-07-09T10:49:21Z</dcterms:created>
  <dcterms:modified xsi:type="dcterms:W3CDTF">2025-07-09T12:14:55Z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 WITH PII</vt:lpwstr>
  </property>
  <property fmtid="{D5CDD505-2E9C-101B-9397-08002B2CF9AE}" pid="3" name="Rules">
    <vt:lpwstr>Indian Uniform Bank Account Number,Indian Ration Card Number</vt:lpwstr>
  </property>
  <property fmtid="{D5CDD505-2E9C-101B-9397-08002B2CF9AE}" pid="4" name="KID">
    <vt:lpwstr>4E34AE37D89B638876747977933409</vt:lpwstr>
  </property>
  <property fmtid="{D5CDD505-2E9C-101B-9397-08002B2CF9AE}" pid="5" name="Suggested_Category">
    <vt:lpwstr>INTERNAL WITH PII</vt:lpwstr>
  </property>
</Properties>
</file>